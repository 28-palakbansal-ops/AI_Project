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IIB YEAR-1\TERM-1\AI IN BUSINESS\"/>
    </mc:Choice>
  </mc:AlternateContent>
  <xr:revisionPtr revIDLastSave="0" documentId="13_ncr:1_{5800955B-6761-46C1-8C43-70C682EA32F7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Pivot Table" sheetId="6" r:id="rId1"/>
    <sheet name="06_Assignment_Answers" sheetId="7" r:id="rId2"/>
    <sheet name="01_Purchase_Orders" sheetId="1" r:id="rId3"/>
    <sheet name="02_Supplier_Master" sheetId="2" r:id="rId4"/>
    <sheet name="03_Product_Master" sheetId="3" r:id="rId5"/>
    <sheet name="04_Rates_and_Rules" sheetId="4" r:id="rId6"/>
    <sheet name="05_Sourcing_Decision" sheetId="5" r:id="rId7"/>
  </sheets>
  <externalReferences>
    <externalReference r:id="rId8"/>
  </externalReferences>
  <calcPr calcId="191029" iterateDelta="1E-4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9" i="7" l="1"/>
  <c r="G90" i="7"/>
  <c r="G91" i="7"/>
  <c r="G88" i="7"/>
  <c r="F89" i="7"/>
  <c r="F90" i="7"/>
  <c r="F91" i="7"/>
  <c r="F88" i="7"/>
  <c r="E89" i="7"/>
  <c r="E90" i="7"/>
  <c r="E91" i="7"/>
  <c r="E88" i="7"/>
  <c r="D89" i="7"/>
  <c r="D90" i="7"/>
  <c r="D91" i="7"/>
  <c r="D88" i="7"/>
  <c r="C91" i="7"/>
  <c r="C90" i="7"/>
  <c r="C89" i="7"/>
  <c r="C88" i="7"/>
  <c r="C106" i="7"/>
  <c r="C105" i="7"/>
  <c r="C104" i="7"/>
  <c r="C103" i="7"/>
  <c r="F67" i="7"/>
  <c r="F68" i="7"/>
  <c r="F69" i="7"/>
  <c r="F70" i="7"/>
  <c r="F71" i="7"/>
  <c r="F72" i="7"/>
  <c r="F73" i="7"/>
  <c r="F74" i="7"/>
  <c r="F75" i="7"/>
  <c r="F76" i="7"/>
  <c r="F77" i="7"/>
  <c r="F66" i="7"/>
  <c r="E67" i="7"/>
  <c r="E68" i="7"/>
  <c r="E69" i="7"/>
  <c r="E70" i="7"/>
  <c r="E71" i="7"/>
  <c r="E72" i="7"/>
  <c r="E73" i="7"/>
  <c r="E74" i="7"/>
  <c r="E75" i="7"/>
  <c r="E76" i="7"/>
  <c r="E77" i="7"/>
  <c r="E66" i="7"/>
  <c r="D67" i="7"/>
  <c r="D68" i="7"/>
  <c r="D69" i="7"/>
  <c r="D70" i="7"/>
  <c r="D71" i="7"/>
  <c r="D72" i="7"/>
  <c r="D73" i="7"/>
  <c r="D74" i="7"/>
  <c r="D75" i="7"/>
  <c r="D76" i="7"/>
  <c r="D77" i="7"/>
  <c r="D66" i="7"/>
  <c r="C67" i="7"/>
  <c r="C68" i="7"/>
  <c r="C69" i="7"/>
  <c r="C70" i="7"/>
  <c r="C71" i="7"/>
  <c r="C72" i="7"/>
  <c r="C73" i="7"/>
  <c r="C74" i="7"/>
  <c r="C75" i="7"/>
  <c r="C76" i="7"/>
  <c r="C77" i="7"/>
  <c r="C66" i="7"/>
  <c r="D54" i="7"/>
  <c r="D53" i="7"/>
  <c r="D52" i="7"/>
  <c r="D51" i="7"/>
  <c r="D50" i="7"/>
  <c r="F54" i="7"/>
  <c r="F53" i="7"/>
  <c r="F52" i="7"/>
  <c r="F51" i="7"/>
  <c r="F50" i="7"/>
  <c r="E54" i="7"/>
  <c r="E53" i="7"/>
  <c r="E52" i="7"/>
  <c r="E51" i="7"/>
  <c r="E50" i="7"/>
  <c r="C54" i="7"/>
  <c r="C53" i="7"/>
  <c r="C52" i="7"/>
  <c r="C51" i="7"/>
  <c r="C50" i="7"/>
  <c r="D44" i="7"/>
  <c r="C44" i="7"/>
  <c r="D43" i="7"/>
  <c r="C43" i="7"/>
  <c r="D42" i="7"/>
  <c r="C42" i="7"/>
  <c r="D41" i="7"/>
  <c r="C41" i="7"/>
  <c r="D40" i="7"/>
  <c r="C40" i="7"/>
  <c r="E31" i="7"/>
  <c r="E32" i="7"/>
  <c r="E33" i="7"/>
  <c r="E30" i="7"/>
  <c r="D31" i="7"/>
  <c r="D32" i="7"/>
  <c r="D33" i="7"/>
  <c r="D30" i="7"/>
  <c r="C31" i="7"/>
  <c r="C32" i="7"/>
  <c r="C33" i="7"/>
  <c r="C30" i="7"/>
  <c r="E21" i="7"/>
  <c r="E22" i="7"/>
  <c r="E23" i="7"/>
  <c r="E24" i="7"/>
  <c r="E20" i="7"/>
  <c r="D21" i="7"/>
  <c r="D22" i="7"/>
  <c r="D23" i="7"/>
  <c r="D24" i="7"/>
  <c r="D20" i="7"/>
  <c r="C21" i="7"/>
  <c r="C22" i="7"/>
  <c r="C23" i="7"/>
  <c r="C24" i="7"/>
  <c r="C20" i="7"/>
  <c r="C15" i="7"/>
  <c r="C14" i="7"/>
  <c r="C13" i="7"/>
  <c r="B88" i="7"/>
  <c r="B91" i="7"/>
  <c r="B90" i="7"/>
  <c r="B89" i="7"/>
  <c r="B77" i="7"/>
  <c r="B76" i="7"/>
  <c r="B75" i="7"/>
  <c r="B74" i="7"/>
  <c r="B73" i="7"/>
  <c r="B72" i="7"/>
  <c r="B71" i="7"/>
  <c r="B70" i="7"/>
  <c r="B69" i="7"/>
  <c r="B68" i="7"/>
  <c r="B67" i="7"/>
  <c r="B66" i="7"/>
  <c r="B54" i="7"/>
  <c r="B53" i="7"/>
  <c r="B52" i="7"/>
  <c r="B51" i="7"/>
  <c r="B50" i="7"/>
  <c r="B44" i="7"/>
  <c r="B43" i="7"/>
  <c r="B42" i="7"/>
  <c r="B41" i="7"/>
  <c r="B40" i="7"/>
  <c r="B24" i="7"/>
  <c r="B23" i="7"/>
  <c r="B22" i="7"/>
  <c r="B21" i="7"/>
  <c r="B20" i="7"/>
  <c r="B27" i="5"/>
  <c r="B25" i="5"/>
  <c r="Q15" i="5"/>
  <c r="Q16" i="5"/>
  <c r="Q17" i="5"/>
  <c r="Q18" i="5"/>
  <c r="P16" i="5"/>
  <c r="P17" i="5"/>
  <c r="P18" i="5"/>
  <c r="O16" i="5"/>
  <c r="O17" i="5"/>
  <c r="O18" i="5"/>
  <c r="N15" i="5"/>
  <c r="N16" i="5"/>
  <c r="N17" i="5"/>
  <c r="N18" i="5"/>
  <c r="M16" i="5"/>
  <c r="M17" i="5"/>
  <c r="M18" i="5"/>
  <c r="L16" i="5"/>
  <c r="L17" i="5"/>
  <c r="L18" i="5"/>
  <c r="K15" i="5"/>
  <c r="L15" i="5" s="1"/>
  <c r="K16" i="5"/>
  <c r="K17" i="5"/>
  <c r="K18" i="5"/>
  <c r="J15" i="5"/>
  <c r="J16" i="5"/>
  <c r="J17" i="5"/>
  <c r="J18" i="5"/>
  <c r="I15" i="5"/>
  <c r="I16" i="5"/>
  <c r="I17" i="5"/>
  <c r="I18" i="5"/>
  <c r="H15" i="5"/>
  <c r="H16" i="5"/>
  <c r="H17" i="5"/>
  <c r="H18" i="5"/>
  <c r="Q5" i="2"/>
  <c r="Q6" i="2"/>
  <c r="Q7" i="2"/>
  <c r="Q8" i="2"/>
  <c r="Q9" i="2"/>
  <c r="Q10" i="2"/>
  <c r="Q11" i="2"/>
  <c r="Q12" i="2"/>
  <c r="Q13" i="2"/>
  <c r="Q14" i="2"/>
  <c r="Q15" i="2"/>
  <c r="Q16" i="2"/>
  <c r="O5" i="2"/>
  <c r="O6" i="2"/>
  <c r="O7" i="2"/>
  <c r="O8" i="2"/>
  <c r="O9" i="2"/>
  <c r="O10" i="2"/>
  <c r="O11" i="2"/>
  <c r="O12" i="2"/>
  <c r="O13" i="2"/>
  <c r="O14" i="2"/>
  <c r="O15" i="2"/>
  <c r="O16" i="2"/>
  <c r="P5" i="2"/>
  <c r="P6" i="2"/>
  <c r="P7" i="2"/>
  <c r="P8" i="2"/>
  <c r="P9" i="2"/>
  <c r="P10" i="2"/>
  <c r="P11" i="2"/>
  <c r="P12" i="2"/>
  <c r="P13" i="2"/>
  <c r="P14" i="2"/>
  <c r="P15" i="2"/>
  <c r="P16" i="2"/>
  <c r="N5" i="2"/>
  <c r="N6" i="2"/>
  <c r="N7" i="2"/>
  <c r="N8" i="2"/>
  <c r="N9" i="2"/>
  <c r="N10" i="2"/>
  <c r="N11" i="2"/>
  <c r="N12" i="2"/>
  <c r="N13" i="2"/>
  <c r="N14" i="2"/>
  <c r="N15" i="2"/>
  <c r="N16" i="2"/>
  <c r="M5" i="2"/>
  <c r="M6" i="2"/>
  <c r="M7" i="2"/>
  <c r="M8" i="2"/>
  <c r="M9" i="2"/>
  <c r="M10" i="2"/>
  <c r="M11" i="2"/>
  <c r="M12" i="2"/>
  <c r="M13" i="2"/>
  <c r="M14" i="2"/>
  <c r="M15" i="2"/>
  <c r="M16" i="2"/>
  <c r="L5" i="2"/>
  <c r="L6" i="2"/>
  <c r="L7" i="2"/>
  <c r="L8" i="2"/>
  <c r="L9" i="2"/>
  <c r="L10" i="2"/>
  <c r="L11" i="2"/>
  <c r="L12" i="2"/>
  <c r="L13" i="2"/>
  <c r="L14" i="2"/>
  <c r="L15" i="2"/>
  <c r="L16" i="2"/>
  <c r="K5" i="3"/>
  <c r="K6" i="3"/>
  <c r="K7" i="3"/>
  <c r="K8" i="3"/>
  <c r="K9" i="3"/>
  <c r="J5" i="3"/>
  <c r="J6" i="3"/>
  <c r="J7" i="3"/>
  <c r="J8" i="3"/>
  <c r="J9" i="3"/>
  <c r="I5" i="3"/>
  <c r="I6" i="3"/>
  <c r="I7" i="3"/>
  <c r="I8" i="3"/>
  <c r="I9" i="3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B98" i="7" l="1"/>
  <c r="M15" i="5"/>
  <c r="O15" i="5" s="1"/>
  <c r="B26" i="7" l="1"/>
  <c r="B35" i="7"/>
  <c r="B26" i="5"/>
  <c r="P15" i="5"/>
  <c r="B93" i="7" l="1"/>
</calcChain>
</file>

<file path=xl/sharedStrings.xml><?xml version="1.0" encoding="utf-8"?>
<sst xmlns="http://schemas.openxmlformats.org/spreadsheetml/2006/main" count="1100" uniqueCount="453">
  <si>
    <t>Moglix Procurement Analysis Assignment | Purchase Orders</t>
  </si>
  <si>
    <t>STUDENT INSTRUCTIONS</t>
  </si>
  <si>
    <t>Simulated classroom data inspired by the Moglix case. These are not actual Moglix operational records.</t>
  </si>
  <si>
    <t>1. Use Supplier Code and Product Code to retrieve the missing names and category.
2. Calculate Order Value, Delivery Days, Delay Days and Defect Rate.
3. Create a Delivery Status rule using the thresholds on 04_Rates_and_Rules.
4. Use this completed table for your category, region and supplier analysis.
5. Create any Pivot Table or chart on a new worksheet so that this raw-data sheet remains unchanged.
Important: Do not type supplier names or categories manually. Use lookup formulas.</t>
  </si>
  <si>
    <t>PO ID</t>
  </si>
  <si>
    <t>Order Date</t>
  </si>
  <si>
    <t>Promised Date</t>
  </si>
  <si>
    <t>Delivery Date</t>
  </si>
  <si>
    <t>Region</t>
  </si>
  <si>
    <t>Supplier Code</t>
  </si>
  <si>
    <t>Product Code</t>
  </si>
  <si>
    <t>Qty Ordered</t>
  </si>
  <si>
    <t>Qty Received</t>
  </si>
  <si>
    <t>Rejected Qty</t>
  </si>
  <si>
    <t>Unit Price (₹)</t>
  </si>
  <si>
    <t>Purchase Type</t>
  </si>
  <si>
    <t>Supplier Name</t>
  </si>
  <si>
    <t>Product Name</t>
  </si>
  <si>
    <t>Category</t>
  </si>
  <si>
    <t>Order Value (₹)</t>
  </si>
  <si>
    <t>Delivery Days</t>
  </si>
  <si>
    <t>Delay Days</t>
  </si>
  <si>
    <t>Defect Rate</t>
  </si>
  <si>
    <t>Delivery Status</t>
  </si>
  <si>
    <t>PO001</t>
  </si>
  <si>
    <t>North</t>
  </si>
  <si>
    <t>S012</t>
  </si>
  <si>
    <t>PPE-004</t>
  </si>
  <si>
    <t>Routine</t>
  </si>
  <si>
    <t>PO002</t>
  </si>
  <si>
    <t>West</t>
  </si>
  <si>
    <t>S007</t>
  </si>
  <si>
    <t>BRG-003</t>
  </si>
  <si>
    <t>PO003</t>
  </si>
  <si>
    <t>South</t>
  </si>
  <si>
    <t>S002</t>
  </si>
  <si>
    <t>ELE-003</t>
  </si>
  <si>
    <t>PO004</t>
  </si>
  <si>
    <t>East</t>
  </si>
  <si>
    <t>S001</t>
  </si>
  <si>
    <t>PPE-001</t>
  </si>
  <si>
    <t>PO005</t>
  </si>
  <si>
    <t>S003</t>
  </si>
  <si>
    <t>PPE-002</t>
  </si>
  <si>
    <t>PO006</t>
  </si>
  <si>
    <t>S004</t>
  </si>
  <si>
    <t>ELE-004</t>
  </si>
  <si>
    <t>PO007</t>
  </si>
  <si>
    <t>TOOL-002</t>
  </si>
  <si>
    <t>PO008</t>
  </si>
  <si>
    <t>TOOL-001</t>
  </si>
  <si>
    <t>PO009</t>
  </si>
  <si>
    <t>PO010</t>
  </si>
  <si>
    <t>PO011</t>
  </si>
  <si>
    <t>S011</t>
  </si>
  <si>
    <t>BRG-002</t>
  </si>
  <si>
    <t>PO012</t>
  </si>
  <si>
    <t>S008</t>
  </si>
  <si>
    <t>PPE-003</t>
  </si>
  <si>
    <t>PO013</t>
  </si>
  <si>
    <t>PO014</t>
  </si>
  <si>
    <t>Urgent</t>
  </si>
  <si>
    <t>PO015</t>
  </si>
  <si>
    <t>PO016</t>
  </si>
  <si>
    <t>BRG-001</t>
  </si>
  <si>
    <t>PO017</t>
  </si>
  <si>
    <t>PO018</t>
  </si>
  <si>
    <t>PO019</t>
  </si>
  <si>
    <t>PO020</t>
  </si>
  <si>
    <t>S005</t>
  </si>
  <si>
    <t>ELE-002</t>
  </si>
  <si>
    <t>PO021</t>
  </si>
  <si>
    <t>S009</t>
  </si>
  <si>
    <t>PO022</t>
  </si>
  <si>
    <t>PO023</t>
  </si>
  <si>
    <t>ELE-001</t>
  </si>
  <si>
    <t>PO024</t>
  </si>
  <si>
    <t>PO025</t>
  </si>
  <si>
    <t>PO026</t>
  </si>
  <si>
    <t>PO027</t>
  </si>
  <si>
    <t>PO028</t>
  </si>
  <si>
    <t>PO029</t>
  </si>
  <si>
    <t>CLN-001</t>
  </si>
  <si>
    <t>PO030</t>
  </si>
  <si>
    <t>PO031</t>
  </si>
  <si>
    <t>PO032</t>
  </si>
  <si>
    <t>PO033</t>
  </si>
  <si>
    <t>S010</t>
  </si>
  <si>
    <t>CLN-003</t>
  </si>
  <si>
    <t>PO034</t>
  </si>
  <si>
    <t>PO035</t>
  </si>
  <si>
    <t>PO036</t>
  </si>
  <si>
    <t>PO037</t>
  </si>
  <si>
    <t>PO038</t>
  </si>
  <si>
    <t>S006</t>
  </si>
  <si>
    <t>PO039</t>
  </si>
  <si>
    <t>CLN-004</t>
  </si>
  <si>
    <t>PO040</t>
  </si>
  <si>
    <t>PO041</t>
  </si>
  <si>
    <t>PO042</t>
  </si>
  <si>
    <t>PO043</t>
  </si>
  <si>
    <t>PO044</t>
  </si>
  <si>
    <t>TOOL-003</t>
  </si>
  <si>
    <t>PO045</t>
  </si>
  <si>
    <t>PO046</t>
  </si>
  <si>
    <t>PO047</t>
  </si>
  <si>
    <t>PO048</t>
  </si>
  <si>
    <t>PO049</t>
  </si>
  <si>
    <t>CLN-002</t>
  </si>
  <si>
    <t>PO050</t>
  </si>
  <si>
    <t>PO051</t>
  </si>
  <si>
    <t>PO052</t>
  </si>
  <si>
    <t>PO053</t>
  </si>
  <si>
    <t>PO054</t>
  </si>
  <si>
    <t>PO055</t>
  </si>
  <si>
    <t>PO056</t>
  </si>
  <si>
    <t>PO057</t>
  </si>
  <si>
    <t>PO058</t>
  </si>
  <si>
    <t>PO059</t>
  </si>
  <si>
    <t>PO060</t>
  </si>
  <si>
    <t>PO061</t>
  </si>
  <si>
    <t>PO062</t>
  </si>
  <si>
    <t>PO063</t>
  </si>
  <si>
    <t>PO064</t>
  </si>
  <si>
    <t>PO065</t>
  </si>
  <si>
    <t>PO066</t>
  </si>
  <si>
    <t>PO067</t>
  </si>
  <si>
    <t>PO068</t>
  </si>
  <si>
    <t>PO069</t>
  </si>
  <si>
    <t>PO070</t>
  </si>
  <si>
    <t>PO071</t>
  </si>
  <si>
    <t>PO072</t>
  </si>
  <si>
    <t>PO073</t>
  </si>
  <si>
    <t>PO074</t>
  </si>
  <si>
    <t>PO075</t>
  </si>
  <si>
    <t>PO076</t>
  </si>
  <si>
    <t>PO077</t>
  </si>
  <si>
    <t>PO078</t>
  </si>
  <si>
    <t>PO079</t>
  </si>
  <si>
    <t>PO080</t>
  </si>
  <si>
    <t>PO081</t>
  </si>
  <si>
    <t>PO082</t>
  </si>
  <si>
    <t>PO083</t>
  </si>
  <si>
    <t>PO084</t>
  </si>
  <si>
    <t>PO085</t>
  </si>
  <si>
    <t>PO086</t>
  </si>
  <si>
    <t>PO087</t>
  </si>
  <si>
    <t>PO088</t>
  </si>
  <si>
    <t>PO089</t>
  </si>
  <si>
    <t>PO090</t>
  </si>
  <si>
    <t>PO091</t>
  </si>
  <si>
    <t>PO092</t>
  </si>
  <si>
    <t>PO093</t>
  </si>
  <si>
    <t>PO094</t>
  </si>
  <si>
    <t>PO095</t>
  </si>
  <si>
    <t>PO096</t>
  </si>
  <si>
    <t>PO097</t>
  </si>
  <si>
    <t>PO098</t>
  </si>
  <si>
    <t>PO099</t>
  </si>
  <si>
    <t>PO100</t>
  </si>
  <si>
    <t>PO101</t>
  </si>
  <si>
    <t>PO102</t>
  </si>
  <si>
    <t>PO103</t>
  </si>
  <si>
    <t>PO104</t>
  </si>
  <si>
    <t>PO105</t>
  </si>
  <si>
    <t>PO106</t>
  </si>
  <si>
    <t>PO107</t>
  </si>
  <si>
    <t>PO108</t>
  </si>
  <si>
    <t>PO109</t>
  </si>
  <si>
    <t>PO110</t>
  </si>
  <si>
    <t>PO111</t>
  </si>
  <si>
    <t>PO112</t>
  </si>
  <si>
    <t>PO113</t>
  </si>
  <si>
    <t>PO114</t>
  </si>
  <si>
    <t>PO115</t>
  </si>
  <si>
    <t>PO116</t>
  </si>
  <si>
    <t>PO117</t>
  </si>
  <si>
    <t>PO118</t>
  </si>
  <si>
    <t>PO119</t>
  </si>
  <si>
    <t>PO120</t>
  </si>
  <si>
    <t>Supplier Master and Performance Workspace</t>
  </si>
  <si>
    <t>Supplier Performance Workspace</t>
  </si>
  <si>
    <t>HOW TO USE THIS SHEET</t>
  </si>
  <si>
    <t>Reference information is provided. Historical performance measures must be calculated from 01_Purchase_Orders.</t>
  </si>
  <si>
    <t>Master table (left): Use Supplier Code to retrieve supplier information.
Performance workspace (centre): Summarise each supplier's historical performance using 01_Purchase_Orders.
Recommended measures:
• Total Order Value
• Average Unit Price
• Average Delay Days
• On-Time Percentage
• Average Defect Rate
Use the classification rules on 04_Rates_and_Rules to label each supplier as Preferred, Acceptable or Needs Review.</t>
  </si>
  <si>
    <t>City</t>
  </si>
  <si>
    <t>Standard Lead Time</t>
  </si>
  <si>
    <t>Approval Status</t>
  </si>
  <si>
    <t>Certification</t>
  </si>
  <si>
    <t>Existing Rating</t>
  </si>
  <si>
    <t>Primary Categories</t>
  </si>
  <si>
    <t>Total Order Value</t>
  </si>
  <si>
    <t>Average Unit Price</t>
  </si>
  <si>
    <t>Average Delay Days</t>
  </si>
  <si>
    <t>On-Time %</t>
  </si>
  <si>
    <t>Average Defect Rate</t>
  </si>
  <si>
    <t>Performance Class</t>
  </si>
  <si>
    <t>Bharat Industrial Supplies</t>
  </si>
  <si>
    <t>Delhi</t>
  </si>
  <si>
    <t>Approved</t>
  </si>
  <si>
    <t>ISO 9001</t>
  </si>
  <si>
    <t>Safety and PPE; Electricals</t>
  </si>
  <si>
    <t>Western MRO Hub</t>
  </si>
  <si>
    <t>Ahmedabad</t>
  </si>
  <si>
    <t>Electricals; Hand Tools</t>
  </si>
  <si>
    <t>SafePro India</t>
  </si>
  <si>
    <t>Noida</t>
  </si>
  <si>
    <t>ISO 45001</t>
  </si>
  <si>
    <t>Safety and PPE</t>
  </si>
  <si>
    <t>Eastern Engineering Traders</t>
  </si>
  <si>
    <t>Kolkata</t>
  </si>
  <si>
    <t>Conditional</t>
  </si>
  <si>
    <t>Bearings and Mechanical; Electricals</t>
  </si>
  <si>
    <t>Vertex Electricals</t>
  </si>
  <si>
    <t>Pune</t>
  </si>
  <si>
    <t>ISO 9001; ISO 14001</t>
  </si>
  <si>
    <t>Electricals</t>
  </si>
  <si>
    <t>Precision Tools India</t>
  </si>
  <si>
    <t>Bengaluru</t>
  </si>
  <si>
    <t>Hand Tools</t>
  </si>
  <si>
    <t>National Bearings Company</t>
  </si>
  <si>
    <t>Chennai</t>
  </si>
  <si>
    <t>Bearings and Mechanical</t>
  </si>
  <si>
    <t>Metro Industrial Mart</t>
  </si>
  <si>
    <t>Mumbai</t>
  </si>
  <si>
    <t>Not provided</t>
  </si>
  <si>
    <t>Safety and PPE; Cleaning and Consumables</t>
  </si>
  <si>
    <t>SecureTech Safety Solutions</t>
  </si>
  <si>
    <t>Hyderabad</t>
  </si>
  <si>
    <t>CleanWorks Industrial</t>
  </si>
  <si>
    <t>Cleaning and Consumables</t>
  </si>
  <si>
    <t>Eastline Components</t>
  </si>
  <si>
    <t>Bhubaneswar</t>
  </si>
  <si>
    <t>Electricals; Bearings and Mechanical</t>
  </si>
  <si>
    <t>ProServe MRO Solutions</t>
  </si>
  <si>
    <t>Jaipur</t>
  </si>
  <si>
    <t>Multiple categories</t>
  </si>
  <si>
    <t>Product Master and Category Workspace</t>
  </si>
  <si>
    <t>Category Analysis Workspace</t>
  </si>
  <si>
    <t>Use Product Code to connect purchase-order records with the correct product and category.</t>
  </si>
  <si>
    <t>1. Use the product master to complete Product Name and Category in 01_Purchase_Orders.
2. Complete the Category Analysis Workspace using the purchase-order data.
3. Identify the highest-spend category.
4. Create a chart showing total spend by category.
5. Use the highest-spend category as the focus for the supplier comparison.</t>
  </si>
  <si>
    <t>Unit</t>
  </si>
  <si>
    <t>Criticality</t>
  </si>
  <si>
    <t>Reference Price (₹)</t>
  </si>
  <si>
    <t>Total Spend</t>
  </si>
  <si>
    <t>Number of Orders</t>
  </si>
  <si>
    <t>Industrial Safety Helmet</t>
  </si>
  <si>
    <t>Each</t>
  </si>
  <si>
    <t>High</t>
  </si>
  <si>
    <t>Nitrile Gloves - Box of 100</t>
  </si>
  <si>
    <t>Box</t>
  </si>
  <si>
    <t>Medium</t>
  </si>
  <si>
    <t>Safety Goggles</t>
  </si>
  <si>
    <t>Reflective Safety Jacket</t>
  </si>
  <si>
    <t>Miniature Circuit Breaker 32A</t>
  </si>
  <si>
    <t>Copper Cable Roll - 100 m</t>
  </si>
  <si>
    <t>Roll</t>
  </si>
  <si>
    <t>Three-Phase Contactor</t>
  </si>
  <si>
    <t>Industrial LED High-Bay Light</t>
  </si>
  <si>
    <t>Industrial Angle Grinder</t>
  </si>
  <si>
    <t>Industrial Torque Wrench</t>
  </si>
  <si>
    <t>Heavy-Duty Drill Machine</t>
  </si>
  <si>
    <t>Deep-Groove Ball Bearing</t>
  </si>
  <si>
    <t>Industrial Roller Bearing</t>
  </si>
  <si>
    <t>Heavy-Duty Industrial Belt</t>
  </si>
  <si>
    <t>Industrial Degreaser - 20 L</t>
  </si>
  <si>
    <t>Can</t>
  </si>
  <si>
    <t>Chemical Absorbent Pads - Pack</t>
  </si>
  <si>
    <t>Pack</t>
  </si>
  <si>
    <t>Industrial Wipes - Carton</t>
  </si>
  <si>
    <t>Carton</t>
  </si>
  <si>
    <t>Low</t>
  </si>
  <si>
    <t>Multipurpose Lubricant - Drum</t>
  </si>
  <si>
    <t>Drum</t>
  </si>
  <si>
    <t>Regional Charges and Supplier Classification Rules</t>
  </si>
  <si>
    <t>USING THE RATES AND RULES</t>
  </si>
  <si>
    <t>The regional charge table is horizontal so that it can be used as a reference during the sourcing decision.</t>
  </si>
  <si>
    <t>Regional charges:
• Match the destination region across the top row.
• Use Standard Freight for routine delivery and Express Freight for urgent delivery.
• Freight Cost is the higher of the percentage-based freight and the minimum freight charge.
• Add the fixed Handling Charge after freight.
Supplier classification:
A supplier should meet all Preferred conditions to be classified Preferred. If it fails Preferred but meets all Acceptable conditions, classify it Acceptable. Otherwise classify it Needs Review.
Delivery status:
Use Delay Days to classify each order.</t>
  </si>
  <si>
    <t>Charge</t>
  </si>
  <si>
    <t>Standard Freight Rate</t>
  </si>
  <si>
    <t>Express Freight Rate</t>
  </si>
  <si>
    <t>Handling Charge</t>
  </si>
  <si>
    <t>Minimum Freight Charge</t>
  </si>
  <si>
    <t>Supplier Performance Classification</t>
  </si>
  <si>
    <t>Classification</t>
  </si>
  <si>
    <t>On-Time Delivery</t>
  </si>
  <si>
    <t>Average Delay</t>
  </si>
  <si>
    <t>Interpretation</t>
  </si>
  <si>
    <t>Preferred</t>
  </si>
  <si>
    <t>At least 90%</t>
  </si>
  <si>
    <t>Not more than 2%</t>
  </si>
  <si>
    <t>Not more than 2 days</t>
  </si>
  <si>
    <t>Strong overall performance</t>
  </si>
  <si>
    <t>Acceptable</t>
  </si>
  <si>
    <t>At least 75%</t>
  </si>
  <si>
    <t>Not more than 5%</t>
  </si>
  <si>
    <t>Not more than 5 days</t>
  </si>
  <si>
    <t>Usable with routine monitoring</t>
  </si>
  <si>
    <t>Needs Review</t>
  </si>
  <si>
    <t>Below acceptable threshold</t>
  </si>
  <si>
    <t>Above 5%</t>
  </si>
  <si>
    <t>Above 5 days</t>
  </si>
  <si>
    <t>Management review required</t>
  </si>
  <si>
    <t>Order Delivery Status Rules</t>
  </si>
  <si>
    <t>Status</t>
  </si>
  <si>
    <t>Meaning</t>
  </si>
  <si>
    <t>On Time</t>
  </si>
  <si>
    <t>0 or fewer</t>
  </si>
  <si>
    <t>Delivered by the promised date</t>
  </si>
  <si>
    <t>Slightly Late</t>
  </si>
  <si>
    <t>1 to 3</t>
  </si>
  <si>
    <t>Short delay requiring monitoring</t>
  </si>
  <si>
    <t>Seriously Late</t>
  </si>
  <si>
    <t>More than 3</t>
  </si>
  <si>
    <t>Material delivery failure</t>
  </si>
  <si>
    <t>Sourcing Decision: Industrial Safety Helmet Order</t>
  </si>
  <si>
    <t>SOURCING DECISION STEPS</t>
  </si>
  <si>
    <t>Use historical supplier performance, current quotations, regional charges and the approved budget to recommend a primary and backup supplier.</t>
  </si>
  <si>
    <t>1. Retrieve Supplier Name and Approval Status from 02_Supplier_Master.
2. Retrieve the Historical Classification from the performance workspace on 02_Supplier_Master.
3. Calculate Net Unit Price after discount and Goods Cost for 3,500 units.
4. Retrieve the West-region Standard Freight Rate, Minimum Freight and Handling Charge from 04_Rates_and_Rules.
5. Calculate Total Landed Cost and Budget Difference.
6. Check whether each supplier can meet the 10-day requirement.
7. Use Goal Seek for Q001: set Total Landed Cost to ₹14,70,000 by changing Quoted Unit Price.
8. Recommend one primary supplier and one backup supplier. Do not base the decision only on price.</t>
  </si>
  <si>
    <t>Purchase Requirement</t>
  </si>
  <si>
    <t>Requirement ID</t>
  </si>
  <si>
    <t>SR-2026-04</t>
  </si>
  <si>
    <t>Required Quantity</t>
  </si>
  <si>
    <t>Destination Region</t>
  </si>
  <si>
    <t>Delivery Type</t>
  </si>
  <si>
    <t>Standard</t>
  </si>
  <si>
    <t>Approved Budget</t>
  </si>
  <si>
    <t>Required Delivery</t>
  </si>
  <si>
    <t>Within 10 days</t>
  </si>
  <si>
    <t>Quote ID</t>
  </si>
  <si>
    <t>Quoted Unit Price</t>
  </si>
  <si>
    <t>Discount</t>
  </si>
  <si>
    <t>Offered Lead Time</t>
  </si>
  <si>
    <t>Minimum Order</t>
  </si>
  <si>
    <t>Warranty</t>
  </si>
  <si>
    <t>Historical Classification</t>
  </si>
  <si>
    <t>Net Unit Price</t>
  </si>
  <si>
    <t>Goods Cost</t>
  </si>
  <si>
    <t>Freight Cost</t>
  </si>
  <si>
    <t>Total Landed Cost</t>
  </si>
  <si>
    <t>Budget Difference</t>
  </si>
  <si>
    <t>Meets Delivery Requirement?</t>
  </si>
  <si>
    <t>Q001</t>
  </si>
  <si>
    <t>12 months</t>
  </si>
  <si>
    <t>Q002</t>
  </si>
  <si>
    <t>6 months</t>
  </si>
  <si>
    <t>Q003</t>
  </si>
  <si>
    <t>Q004</t>
  </si>
  <si>
    <t>3 months</t>
  </si>
  <si>
    <t>Goal Seek Workspace</t>
  </si>
  <si>
    <t>Selected Quote</t>
  </si>
  <si>
    <t>Q001 - SafePro India</t>
  </si>
  <si>
    <t>Target Total Landed Cost</t>
  </si>
  <si>
    <t>Current Quoted Unit Price</t>
  </si>
  <si>
    <t>Calculated Total Landed Cost</t>
  </si>
  <si>
    <t>Maximum Acceptable Quoted Unit Price</t>
  </si>
  <si>
    <t>Case context source: https://cloud.google.com/customers/moglix | Company background: https://business.moglix.com/about-us | All procurement records and commercial rates in this workbook are simulated for classroom analysis.</t>
  </si>
  <si>
    <t>Highest spend category is Safety &amp; PPE</t>
  </si>
  <si>
    <t>Row Labels</t>
  </si>
  <si>
    <t>Grand Total</t>
  </si>
  <si>
    <t>Average of Delivery Days</t>
  </si>
  <si>
    <t>Sum of Order Value (₹)</t>
  </si>
  <si>
    <t>Count of PO ID</t>
  </si>
  <si>
    <r>
      <t>Key Finding:</t>
    </r>
    <r>
      <rPr>
        <sz val="11"/>
        <rFont val="Carlito"/>
      </rPr>
      <t xml:space="preserve"> </t>
    </r>
    <r>
      <rPr>
        <b/>
        <sz val="11"/>
        <rFont val="Carlito"/>
      </rPr>
      <t>Safety and PPE</t>
    </r>
    <r>
      <rPr>
        <sz val="11"/>
        <rFont val="Carlito"/>
      </rPr>
      <t xml:space="preserve"> is the top category with </t>
    </r>
    <r>
      <rPr>
        <b/>
        <sz val="11"/>
        <rFont val="Carlito"/>
      </rPr>
      <t>₹2,97,69,140</t>
    </r>
    <r>
      <rPr>
        <sz val="11"/>
        <rFont val="Carlito"/>
      </rPr>
      <t xml:space="preserve"> (~33.9% of total spend).</t>
    </r>
  </si>
  <si>
    <t>Average of Delay Days</t>
  </si>
  <si>
    <r>
      <t xml:space="preserve">The </t>
    </r>
    <r>
      <rPr>
        <b/>
        <sz val="11"/>
        <rFont val="Carlito"/>
      </rPr>
      <t>East</t>
    </r>
    <r>
      <rPr>
        <sz val="11"/>
        <rFont val="Carlito"/>
      </rPr>
      <t xml:space="preserve"> region shows the weakest performance, with the highest average delivery time (</t>
    </r>
    <r>
      <rPr>
        <b/>
        <sz val="11"/>
        <rFont val="Carlito"/>
      </rPr>
      <t>14 days</t>
    </r>
    <r>
      <rPr>
        <sz val="11"/>
        <rFont val="Carlito"/>
      </rPr>
      <t>), highest average delay (5</t>
    </r>
    <r>
      <rPr>
        <b/>
        <sz val="11"/>
        <rFont val="Carlito"/>
      </rPr>
      <t xml:space="preserve"> days</t>
    </r>
    <r>
      <rPr>
        <sz val="11"/>
        <rFont val="Carlito"/>
      </rPr>
      <t>).</t>
    </r>
  </si>
  <si>
    <t>Average of Unit Price (₹)</t>
  </si>
  <si>
    <t>Average of Defect Rate</t>
  </si>
  <si>
    <t>Moglix Procurement Analysis — Assignment Answers</t>
  </si>
  <si>
    <t>Business task: Moglix management wants to improve procurement performance without unnecessarily increasing cost. This sheet uses the completed 01_Purchase_Orders, 02_Supplier_Master, 03_Product_Master, 04_Rates_and_Rules and 05_Sourcing_Decision sheets to locate the most important problem, evaluate the suppliers involved, and recommend how the next major purchase should be handled.</t>
  </si>
  <si>
    <t>Stage 1 — Locate the Procurement Problem</t>
  </si>
  <si>
    <t>Q1</t>
  </si>
  <si>
    <t>Calculate the value of each order and the number of days taken to deliver it.</t>
  </si>
  <si>
    <t>Order Value and Delivery Days are calculated for every one of the 120 purchase orders directly in 01_Purchase_Orders (columns P and Q), using row-level formulas so the sheet recalculates automatically:
  •  Order Value (₹) = Qty Ordered × Unit Price (₹)
  •  Delivery Days = Delivery Date − Order Date
  •  Delay Days = MAX(0, Delivery Date − Promised Date)
  •  Defect Rate = Rejected Qty ÷ Qty Received
Portfolio-wide totals (live from 01_Purchase_Orders):</t>
  </si>
  <si>
    <t>Metric</t>
  </si>
  <si>
    <t>Value</t>
  </si>
  <si>
    <t>Total orders</t>
  </si>
  <si>
    <t>Total order value (₹)</t>
  </si>
  <si>
    <t>Average order value (₹)</t>
  </si>
  <si>
    <t>Average delivery time (days)</t>
  </si>
  <si>
    <t>Answer: Order Value and Delivery Days are computed for every PO in 01_Purchase_Orders; on average an order is worth roughly ₹7.3 lakh and takes about 12 days to arrive — the starting point for the delivery-problem investigation below.</t>
  </si>
  <si>
    <t>Q2</t>
  </si>
  <si>
    <t>Which product category accounts for the largest share of procurement spending? Report the category and the total amount spent on it.</t>
  </si>
  <si>
    <t>Total Spend (₹)</t>
  </si>
  <si>
    <t>Orders</t>
  </si>
  <si>
    <t>Avg Unit Price (₹)</t>
  </si>
  <si>
    <t>Q3</t>
  </si>
  <si>
    <t>Which region shows the weakest delivery performance? Consider both the number of delayed orders and the average delivery time.</t>
  </si>
  <si>
    <t>Avg. Delivery Days</t>
  </si>
  <si>
    <t>Avg. Delay Days</t>
  </si>
  <si>
    <t>Seriously Late Orders</t>
  </si>
  <si>
    <t>Stage 2 — Evaluate the Suppliers (focus: Safety and PPE)</t>
  </si>
  <si>
    <t>Q4</t>
  </si>
  <si>
    <t>Within the category identified in Q2, which suppliers handle the largest value of orders?</t>
  </si>
  <si>
    <t>Supplier (in Safety &amp; PPE)</t>
  </si>
  <si>
    <t>Answer: ProServe MRO Solutions, Bharat Industrial Supplies and Metro Industrial Mart handle the largest — and very similar — value of Safety &amp; PPE orders (each roughly ₹70 lakh, ~23-24% of category spend). SafePro India is close behind (~20%); SecureTech Safety Solutions is a smaller, occasional supplier (~9%). These five are compared in Q5.</t>
  </si>
  <si>
    <t>Q5</t>
  </si>
  <si>
    <t>Compare these suppliers on unit price, delivery performance and defect rate. What trade-offs do you observe?</t>
  </si>
  <si>
    <t>Supplier</t>
  </si>
  <si>
    <t>Avg. Unit Price (₹)</t>
  </si>
  <si>
    <t>Avg. Delay (days)</t>
  </si>
  <si>
    <t>Avg. Defect Rate</t>
  </si>
  <si>
    <t>Answer: There is a clear price-vs-reliability trade-off. SecureTech is cheapest per unit but has a thin order history and only middling delivery (25% on-time). Metro Industrial Mart is also cheap but the weakest performer overall (0% on-time, ~6.5% defect rate) — its low price is offset by rejection/rework risk. SafePro India is the most expensive per unit (~36% above SecureTech) but by far the most reliable: 57% on-time, the lowest average delay (0.6 days) and the lowest defect rate (0.65%). Bharat and ProServe sit mid-price but both underperform on delivery (12.5% on-time each). No supplier wins on all three dimensions.</t>
  </si>
  <si>
    <t>Q6</t>
  </si>
  <si>
    <t>Classify the suppliers as Preferred, Acceptable or Needs Review using the performance conditions on 04_Rates_and_Rules.</t>
  </si>
  <si>
    <t>Classification uses each supplier's full historical performance (all categories) from the Supplier Performance Workspace on 02_Supplier_Master, which already applies the rule below via formula:</t>
  </si>
  <si>
    <t>Class</t>
  </si>
  <si>
    <t>Avg. Delay</t>
  </si>
  <si>
    <t>≥ 90%</t>
  </si>
  <si>
    <t>≤ 2%</t>
  </si>
  <si>
    <t>≤ 2 days</t>
  </si>
  <si>
    <t>≥ 75%</t>
  </si>
  <si>
    <t>≤ 5%</t>
  </si>
  <si>
    <t>≤ 5 days</t>
  </si>
  <si>
    <t>Below threshold</t>
  </si>
  <si>
    <t>&gt; 5%</t>
  </si>
  <si>
    <t>&gt; 5 days</t>
  </si>
  <si>
    <t>Avg. Defect</t>
  </si>
  <si>
    <t>Answer: Every one of the 12 suppliers is classified Needs Review — none clears the 75% on-time bar for Acceptable, because On-Time % only counts orders delivered by the promised date (Delay Days = 0), which most orders miss by 1-3 days. This confirms Q3's finding: on-time delivery is a structural, portfolio-wide issue, not a one-off. SafePro India, CleanWorks Industrial and Western MRO Hub are the closest to Acceptable and the strongest relative performers.</t>
  </si>
  <si>
    <t>Q7</t>
  </si>
  <si>
    <t>Does the lowest-priced supplier also provide the best overall procurement outcome? Support your answer using evidence from the supplier comparison.</t>
  </si>
  <si>
    <t>Answer: No. Within Safety &amp; PPE (see Q5), SecureTech Safety Solutions has the lowest average unit price (₹399.50) but is not the best overall performer. SafePro India, priced ~36% higher (₹544.09), delivers far better reliability — 57.1% on-time vs. SecureTech's 25.0%, a 0.57-day average delay vs. 1.50 days, and a lower defect rate (0.65% vs. 1.10%). At the extreme, Metro Industrial Mart is nearly as cheap as SecureTech but is the worst performer in the category on every delivery and quality measure — any unit-price saving would likely be erased by rejections, rework and delay-related disruption. SafePro's higher price is justified by a materially lower total cost of poor quality and delay risk, which is the basis for the sourcing recommendation in Stage 3.</t>
  </si>
  <si>
    <t>Stage 3 — Plan the Next Major Purchase (SR-2026-04, 3,500 units PPE-001, West, within 10 days, budget ₹14,70,000)</t>
  </si>
  <si>
    <t>Q8</t>
  </si>
  <si>
    <t>For the next major order in this category, calculate the complete expected purchase cost after including the applicable delivery and handling charges.</t>
  </si>
  <si>
    <t>The complete purchase cost (Total Landed Cost) for each quotation is calculated on 05_Sourcing_Decision as Net Unit Price (after discount) × Qty + Freight Cost (higher of % rate or minimum freight) + fixed Handling Charge:</t>
  </si>
  <si>
    <t>Net Unit Price (₹)</t>
  </si>
  <si>
    <t>Goods Cost (₹)</t>
  </si>
  <si>
    <t>Freight (₹)</t>
  </si>
  <si>
    <t>Handling (₹)</t>
  </si>
  <si>
    <t>Q9</t>
  </si>
  <si>
    <t>The purchase must remain within the approved budget. What is the maximum unit price Moglix can accept from the supplier without exceeding the budget?</t>
  </si>
  <si>
    <t>Solved on 05_Sourcing_Decision (Goal Seek Workspace) for the selected quote (SafePro India, Q001): the Quoted Unit Price is driven to the value that makes Total Landed Cost equal the ₹14,70,000 budget, holding the 2% discount, West standard freight rate and handling charge fixed.</t>
  </si>
  <si>
    <t>Maximum Acceptable Quoted Unit Price (₹):</t>
  </si>
  <si>
    <t>Answer: ₹416.92 per unit is the maximum quoted unit price Moglix can accept from SafePro India without exceeding the ₹14,70,000 budget. This is exactly SafePro's current quote (Q001) — the order is already at the budget ceiling with zero headroom, so any price increase or added charge would breach the approved budget.</t>
  </si>
  <si>
    <t>Q10</t>
  </si>
  <si>
    <t>Which supplier should Moglix select as the primary supplier, and which supplier should it retain as a backup? Justify using at least three findings from the analysis.</t>
  </si>
  <si>
    <t>Meets 10-day requirement?</t>
  </si>
  <si>
    <t>Within budget?</t>
  </si>
  <si>
    <t>Historical category reliability</t>
  </si>
  <si>
    <t>Yes — exactly at budget</t>
  </si>
  <si>
    <t>Best: 57.1% on-time, 0.57-day delay, 0.65% defect</t>
  </si>
  <si>
    <t>Yes — ₹4,253 under budget</t>
  </si>
  <si>
    <t>Moderate: 25.0% on-time, 1.50-day delay, 1.10% defect</t>
  </si>
  <si>
    <t>No — ₹2,100 over budget</t>
  </si>
  <si>
    <t>Weak: 8.3% on-time, 2.75-day delay</t>
  </si>
  <si>
    <t>Yes — well under budget</t>
  </si>
  <si>
    <t>Weakest: 0% on-time, 4.33-day delay, 6.48% defect; Conditional approval</t>
  </si>
  <si>
    <t>Recommendation: Primary supplier — SafePro India. Backup supplier — SecureTech Safety Solutions.</t>
  </si>
  <si>
    <t>Justification (three findings from the analysis):
1) Compliance: SafePro is one of only two quotes (with SecureTech) meeting both the 10-day delivery requirement and the approved budget — Bharat and Metro each fail one of these two hard constraints (Q8-Q9).
2) Track record: Within Safety &amp; PPE, SafePro has by far the strongest historical delivery and quality performance of the five active suppliers — 57.1% on-time vs. an average of ~22% for the others, the lowest average delay (0.57 days) and the lowest defect rate (0.65%) (Q5-Q6).
3) Price is justified, not wasted: Q7 showed lower-priced suppliers in this category (SecureTech, Metro) carry materially worse delivery and quality outcomes; SafePro's higher price buys a proven reduction in delay and rejection risk, and the quote lands exactly at — not over — budget.
SecureTech Safety Solutions is recommended as backup: it also meets the delivery requirement and clears the budget with ₹4,253 of headroom, and its historical numbers (25% on-time, 1.5-day delay, 1.1% defect) are second-best in the category — but its track record rests on only 4 prior orders, so it is held as backup until a larger order history builds confidence. Bharat Industrial Supplies and Metro Industrial Mart are not recommended: Bharat exceeds both the delivery requirement and the budget, and Metro — despite the lowest landed cost — has the weakest delivery/quality record in the category and only Conditional supplier approval status.</t>
  </si>
  <si>
    <t>All figures on this sheet are formulas referencing 01_Purchase_Orders, 02_Supplier_Master, 03_Product_Master, 04_Rates_and_Rules and 05_Sourcing_Decision — they recalculate automatically if the source data changes.</t>
  </si>
  <si>
    <t>Answers to all 10 assignment questions, cross-referenced to the calculations on the other sheets of this workbook</t>
  </si>
  <si>
    <t>Total Landed Cost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</si>
</sst>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"/>
    <numFmt numFmtId="165" formatCode="\₹#,##0.00"/>
    <numFmt numFmtId="166" formatCode="0.0%"/>
    <numFmt numFmtId="167" formatCode="0\ &quot;days&quot;"/>
    <numFmt numFmtId="168" formatCode="0.0"/>
    <numFmt numFmtId="169" formatCode="\₹#,##0"/>
    <numFmt numFmtId="170" formatCode="#,##0.0"/>
  </numFmts>
  <fonts count="23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0"/>
      <color rgb="FFFFFFFF"/>
      <name val="Carlito"/>
    </font>
    <font>
      <b/>
      <sz val="15"/>
      <color rgb="FF7F3F00"/>
      <name val="Carlito"/>
    </font>
    <font>
      <sz val="12"/>
      <color rgb="FF3B3024"/>
      <name val="Carlito"/>
    </font>
    <font>
      <b/>
      <sz val="11"/>
      <color rgb="FF17365D"/>
      <name val="Carlito"/>
    </font>
    <font>
      <b/>
      <sz val="11"/>
      <name val="Carlito"/>
    </font>
    <font>
      <b/>
      <sz val="16"/>
      <color rgb="FFFFFFFF"/>
      <name val="Calibri"/>
      <charset val="1"/>
    </font>
    <font>
      <i/>
      <sz val="10"/>
      <name val="Calibri"/>
      <charset val="1"/>
    </font>
    <font>
      <b/>
      <sz val="13"/>
      <color rgb="FF1F3864"/>
      <name val="Calibri"/>
      <charset val="1"/>
    </font>
    <font>
      <b/>
      <sz val="11"/>
      <color rgb="FFFFFFFF"/>
      <name val="Calibri"/>
      <charset val="1"/>
    </font>
    <font>
      <b/>
      <sz val="11"/>
      <color rgb="FF1F3864"/>
      <name val="Calibri"/>
      <charset val="1"/>
    </font>
    <font>
      <sz val="10.5"/>
      <name val="Calibri"/>
      <charset val="1"/>
    </font>
    <font>
      <b/>
      <sz val="9.5"/>
      <color rgb="FFFFFFFF"/>
      <name val="Calibri"/>
      <charset val="1"/>
    </font>
    <font>
      <sz val="9.5"/>
      <name val="Calibri"/>
      <charset val="1"/>
    </font>
    <font>
      <i/>
      <sz val="10.5"/>
      <name val="Calibri"/>
      <charset val="1"/>
    </font>
    <font>
      <b/>
      <sz val="10"/>
      <name val="Calibri"/>
      <charset val="1"/>
    </font>
    <font>
      <b/>
      <sz val="12"/>
      <color rgb="FF1F3864"/>
      <name val="Calibri"/>
      <charset val="1"/>
    </font>
    <font>
      <b/>
      <sz val="10.5"/>
      <name val="Calibri"/>
      <charset val="1"/>
    </font>
    <font>
      <i/>
      <sz val="9"/>
      <color rgb="FF666666"/>
      <name val="Calibri"/>
      <charset val="1"/>
    </font>
    <font>
      <i/>
      <sz val="10"/>
      <color rgb="FF666666"/>
      <name val="Calibri"/>
      <charset val="1"/>
    </font>
    <font>
      <b/>
      <i/>
      <sz val="10.5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66"/>
      </patternFill>
    </fill>
    <fill>
      <patternFill patternType="solid">
        <fgColor rgb="FFFFF2CC"/>
      </patternFill>
    </fill>
    <fill>
      <patternFill patternType="solid">
        <fgColor rgb="FF806000"/>
      </patternFill>
    </fill>
    <fill>
      <patternFill patternType="solid">
        <fgColor rgb="FFF4B183"/>
      </patternFill>
    </fill>
    <fill>
      <patternFill patternType="solid">
        <fgColor rgb="FFF3F4F6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rgb="FF17365D"/>
      </patternFill>
    </fill>
    <fill>
      <patternFill patternType="solid">
        <fgColor rgb="FFDCE6F1"/>
        <bgColor rgb="FFD9EAF7"/>
      </patternFill>
    </fill>
    <fill>
      <patternFill patternType="solid">
        <fgColor rgb="FFF2F2F2"/>
        <bgColor rgb="FFF3F4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5" borderId="0" xfId="0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0" fontId="3" fillId="6" borderId="0" xfId="0" applyFont="1" applyFill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2" fontId="0" fillId="5" borderId="0" xfId="0" applyNumberFormat="1" applyFill="1"/>
    <xf numFmtId="169" fontId="0" fillId="0" borderId="0" xfId="0" applyNumberFormat="1"/>
    <xf numFmtId="0" fontId="7" fillId="8" borderId="0" xfId="0" applyFont="1" applyFill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5" borderId="0" xfId="0" applyFill="1" applyAlignment="1">
      <alignment horizontal="center"/>
    </xf>
    <xf numFmtId="0" fontId="11" fillId="10" borderId="0" xfId="0" applyFont="1" applyFill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top" wrapText="1"/>
    </xf>
    <xf numFmtId="0" fontId="14" fillId="1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170" fontId="15" fillId="0" borderId="1" xfId="0" applyNumberFormat="1" applyFont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3" fontId="15" fillId="12" borderId="1" xfId="0" applyNumberFormat="1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70" fontId="15" fillId="1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15" fillId="0" borderId="1" xfId="0" applyFont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4" fontId="15" fillId="12" borderId="1" xfId="0" applyNumberFormat="1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10" fontId="15" fillId="0" borderId="1" xfId="0" applyNumberFormat="1" applyFont="1" applyBorder="1" applyAlignment="1">
      <alignment horizontal="center" vertical="center" wrapText="1"/>
    </xf>
    <xf numFmtId="0" fontId="17" fillId="0" borderId="0" xfId="0" applyFont="1"/>
    <xf numFmtId="4" fontId="18" fillId="0" borderId="0" xfId="0" applyNumberFormat="1" applyFont="1"/>
    <xf numFmtId="0" fontId="19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4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7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0" fillId="11" borderId="0" xfId="0" applyFont="1" applyFill="1" applyAlignment="1">
      <alignment horizontal="left" vertical="center" indent="1"/>
    </xf>
    <xf numFmtId="0" fontId="20" fillId="0" borderId="0" xfId="0" applyFont="1" applyAlignment="1">
      <alignment wrapText="1"/>
    </xf>
    <xf numFmtId="0" fontId="8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9" fillId="11" borderId="0" xfId="0" applyFont="1" applyFill="1" applyAlignment="1">
      <alignment vertical="center" wrapText="1" indent="1"/>
    </xf>
  </cellXfs>
  <cellStyles count="1">
    <cellStyle name="Normal" xfId="0" builtinId="0"/>
  </cellStyles>
  <dxfs count="27">
    <dxf>
      <numFmt numFmtId="165" formatCode="\₹#,##0.00"/>
    </dxf>
    <dxf>
      <numFmt numFmtId="0" formatCode="General"/>
    </dxf>
    <dxf>
      <numFmt numFmtId="165" formatCode="\₹#,##0.00"/>
    </dxf>
    <dxf>
      <numFmt numFmtId="0" formatCode="General"/>
    </dxf>
    <dxf>
      <numFmt numFmtId="166" formatCode="0.0%"/>
    </dxf>
    <dxf>
      <numFmt numFmtId="166" formatCode="0.0%"/>
    </dxf>
    <dxf>
      <numFmt numFmtId="2" formatCode="0.00"/>
    </dxf>
    <dxf>
      <numFmt numFmtId="165" formatCode="\₹#,##0.00"/>
    </dxf>
    <dxf>
      <numFmt numFmtId="165" formatCode="\₹#,##0.00"/>
    </dxf>
    <dxf>
      <numFmt numFmtId="0" formatCode="General"/>
    </dxf>
    <dxf>
      <numFmt numFmtId="166" formatCode="0.0%"/>
    </dxf>
    <dxf>
      <numFmt numFmtId="1" formatCode="0"/>
    </dxf>
    <dxf>
      <numFmt numFmtId="1" formatCode="0"/>
    </dxf>
    <dxf>
      <numFmt numFmtId="165" formatCode="\₹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\₹#,##0.00"/>
    </dxf>
    <dxf>
      <numFmt numFmtId="165" formatCode="\₹#,##0.00"/>
    </dxf>
    <dxf>
      <numFmt numFmtId="165" formatCode="\₹#,##0.00"/>
    </dxf>
    <dxf>
      <numFmt numFmtId="165" formatCode="\₹#,##0.00"/>
    </dxf>
    <dxf>
      <numFmt numFmtId="165" formatCode="\₹#,##0.00"/>
    </dxf>
    <dxf>
      <numFmt numFmtId="165" formatCode="\₹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'03_Product_Master'!$I$4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'03_Product_Master'!$H$5:$H$9</c:f>
              <c:strCache>
                <c:ptCount val="5"/>
                <c:pt idx="0">
                  <c:v>Safety and PPE</c:v>
                </c:pt>
                <c:pt idx="1">
                  <c:v>Electricals</c:v>
                </c:pt>
                <c:pt idx="2">
                  <c:v>Hand Tools</c:v>
                </c:pt>
                <c:pt idx="3">
                  <c:v>Bearings and Mechanical</c:v>
                </c:pt>
                <c:pt idx="4">
                  <c:v>Cleaning and Consumables</c:v>
                </c:pt>
              </c:strCache>
            </c:strRef>
          </c:cat>
          <c:val>
            <c:numRef>
              <c:f>'03_Product_Master'!$I$5:$I$9</c:f>
              <c:numCache>
                <c:formatCode>\₹#,##0.00</c:formatCode>
                <c:ptCount val="5"/>
                <c:pt idx="0">
                  <c:v>29769140</c:v>
                </c:pt>
                <c:pt idx="1">
                  <c:v>23606088.800000001</c:v>
                </c:pt>
                <c:pt idx="2">
                  <c:v>8568624.3999999985</c:v>
                </c:pt>
                <c:pt idx="3">
                  <c:v>17594925.799999997</c:v>
                </c:pt>
                <c:pt idx="4">
                  <c:v>8178021.4000000004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C-4788-8B9E-F17E0BBD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7623648"/>
        <c:axId val="8801840"/>
      </c:barChart>
      <c:catAx>
        <c:axId val="14762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1840"/>
        <c:crosses val="autoZero"/>
        <c:auto val="1"/>
        <c:lblAlgn val="ctr"/>
        <c:lblOffset val="100"/>
        <c:noMultiLvlLbl val="0"/>
      </c:catAx>
      <c:valAx>
        <c:axId val="880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2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3638550</xdr:colOff>
      <xdr:row>26</xdr:row>
      <xdr:rowOff>31751</xdr:rowOff>
    </xdr:from>
    <xdr:to>
      <xdr:col>4</xdr:col>
      <xdr:colOff>539750</xdr:colOff>
      <xdr:row>26</xdr:row>
      <xdr:rowOff>2209800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07FB5-3C0B-4EA3-9AAC-31F0287C1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lak%20Bansal\Downloads\Moglix_Procurement_Analysis_Completed.xlsx" TargetMode="External"/><Relationship Id="rId1" Type="http://schemas.openxmlformats.org/officeDocument/2006/relationships/externalLinkPath" Target="file:///C:\Users\Palak%20Bansal\Downloads\Moglix_Procurement_Analysis_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 Table"/>
      <sheetName val="06_Assignment_Answers"/>
      <sheetName val="01_Purchase_Orders"/>
      <sheetName val="02_Supplier_Master"/>
      <sheetName val="03_Product_Master"/>
      <sheetName val="04_Rates_and_Rules"/>
      <sheetName val="05_Sourcing_Decision"/>
      <sheetName val="Moglix_Procurement_Analysis_Com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B27">
            <v>416.92384270781503</v>
          </cell>
        </row>
      </sheetData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k Bansal" refreshedDate="46257.651135763888" createdVersion="8" refreshedVersion="8" minRefreshableVersion="3" recordCount="120" xr:uid="{83EDADB2-769C-469B-A953-C68BDB4B24D2}">
  <cacheSource type="worksheet">
    <worksheetSource name="PurchaseOrdersTable"/>
  </cacheSource>
  <cacheFields count="20">
    <cacheField name="PO ID" numFmtId="0">
      <sharedItems/>
    </cacheField>
    <cacheField name="Order Date" numFmtId="164">
      <sharedItems containsSemiMixedTypes="0" containsNonDate="0" containsDate="1" containsString="0" minDate="2026-01-07T00:00:00" maxDate="2026-06-27T00:00:00"/>
    </cacheField>
    <cacheField name="Promised Date" numFmtId="164">
      <sharedItems containsSemiMixedTypes="0" containsNonDate="0" containsDate="1" containsString="0" minDate="2026-01-18T00:00:00" maxDate="2026-07-06T00:00:00"/>
    </cacheField>
    <cacheField name="Delivery Date" numFmtId="164">
      <sharedItems containsSemiMixedTypes="0" containsNonDate="0" containsDate="1" containsString="0" minDate="2026-01-19T00:00:00" maxDate="2026-07-09T00:00:00"/>
    </cacheField>
    <cacheField name="Region" numFmtId="0">
      <sharedItems count="4">
        <s v="North"/>
        <s v="West"/>
        <s v="South"/>
        <s v="East"/>
      </sharedItems>
    </cacheField>
    <cacheField name="Supplier Code" numFmtId="0">
      <sharedItems count="12">
        <s v="S012"/>
        <s v="S007"/>
        <s v="S002"/>
        <s v="S001"/>
        <s v="S003"/>
        <s v="S004"/>
        <s v="S011"/>
        <s v="S008"/>
        <s v="S005"/>
        <s v="S009"/>
        <s v="S010"/>
        <s v="S006"/>
      </sharedItems>
    </cacheField>
    <cacheField name="Product Code" numFmtId="0">
      <sharedItems/>
    </cacheField>
    <cacheField name="Qty Ordered" numFmtId="1">
      <sharedItems containsSemiMixedTypes="0" containsString="0" containsNumber="1" containsInteger="1" minValue="30" maxValue="2550"/>
    </cacheField>
    <cacheField name="Qty Received" numFmtId="1">
      <sharedItems containsSemiMixedTypes="0" containsString="0" containsNumber="1" containsInteger="1" minValue="30" maxValue="2539"/>
    </cacheField>
    <cacheField name="Rejected Qty" numFmtId="1">
      <sharedItems containsSemiMixedTypes="0" containsString="0" containsNumber="1" containsInteger="1" minValue="0" maxValue="196"/>
    </cacheField>
    <cacheField name="Unit Price (₹)" numFmtId="165">
      <sharedItems containsSemiMixedTypes="0" containsString="0" containsNumber="1" minValue="272.25" maxValue="6345.27"/>
    </cacheField>
    <cacheField name="Purchase Type" numFmtId="0">
      <sharedItems/>
    </cacheField>
    <cacheField name="Supplier Name" numFmtId="0">
      <sharedItems count="12">
        <s v="ProServe MRO Solutions"/>
        <s v="National Bearings Company"/>
        <s v="Western MRO Hub"/>
        <s v="Bharat Industrial Supplies"/>
        <s v="SafePro India"/>
        <s v="Eastern Engineering Traders"/>
        <s v="Eastline Components"/>
        <s v="Metro Industrial Mart"/>
        <s v="Vertex Electricals"/>
        <s v="SecureTech Safety Solutions"/>
        <s v="CleanWorks Industrial"/>
        <s v="Precision Tools India"/>
      </sharedItems>
    </cacheField>
    <cacheField name="Product Name" numFmtId="0">
      <sharedItems/>
    </cacheField>
    <cacheField name="Category" numFmtId="0">
      <sharedItems count="5">
        <s v="Safety and PPE"/>
        <s v="Bearings and Mechanical"/>
        <s v="Electricals"/>
        <s v="Hand Tools"/>
        <s v="Cleaning and Consumables"/>
      </sharedItems>
    </cacheField>
    <cacheField name="Order Value (₹)" numFmtId="165">
      <sharedItems containsSemiMixedTypes="0" containsString="0" containsNumber="1" minValue="54892.800000000003" maxValue="2923286"/>
    </cacheField>
    <cacheField name="Delivery Days" numFmtId="1">
      <sharedItems containsSemiMixedTypes="0" containsString="0" containsNumber="1" containsInteger="1" minValue="3" maxValue="25"/>
    </cacheField>
    <cacheField name="Delay Days" numFmtId="1">
      <sharedItems containsSemiMixedTypes="0" containsString="0" containsNumber="1" containsInteger="1" minValue="0" maxValue="14"/>
    </cacheField>
    <cacheField name="Defect Rate" numFmtId="166">
      <sharedItems containsSemiMixedTypes="0" containsString="0" containsNumber="1" minValue="0" maxValue="0.124282982791587"/>
    </cacheField>
    <cacheField name="Delivery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PO001"/>
    <d v="2026-06-15T00:00:00"/>
    <d v="2026-06-24T00:00:00"/>
    <d v="2026-06-26T00:00:00"/>
    <x v="0"/>
    <x v="0"/>
    <s v="PPE-004"/>
    <n v="950"/>
    <n v="934"/>
    <n v="38"/>
    <n v="533.17999999999995"/>
    <s v="Routine"/>
    <x v="0"/>
    <s v="Reflective Safety Jacket"/>
    <x v="0"/>
    <n v="506520.99999999994"/>
    <n v="11"/>
    <n v="2"/>
    <n v="4.068522483940043E-2"/>
    <s v="Slightly delay"/>
  </r>
  <r>
    <s v="PO002"/>
    <d v="2026-06-18T00:00:00"/>
    <d v="2026-06-29T00:00:00"/>
    <d v="2026-06-27T00:00:00"/>
    <x v="1"/>
    <x v="1"/>
    <s v="BRG-003"/>
    <n v="280"/>
    <n v="280"/>
    <n v="12"/>
    <n v="1484.78"/>
    <s v="Routine"/>
    <x v="1"/>
    <s v="Heavy-Duty Industrial Belt"/>
    <x v="1"/>
    <n v="415738.39999999997"/>
    <n v="9"/>
    <n v="0"/>
    <n v="4.2857142857142858E-2"/>
    <s v="On time"/>
  </r>
  <r>
    <s v="PO003"/>
    <d v="2026-06-17T00:00:00"/>
    <d v="2026-06-25T00:00:00"/>
    <d v="2026-06-25T00:00:00"/>
    <x v="2"/>
    <x v="2"/>
    <s v="ELE-003"/>
    <n v="700"/>
    <n v="691"/>
    <n v="9"/>
    <n v="2262.63"/>
    <s v="Routine"/>
    <x v="2"/>
    <s v="Three-Phase Contactor"/>
    <x v="2"/>
    <n v="1583841"/>
    <n v="8"/>
    <n v="0"/>
    <n v="1.3024602026049204E-2"/>
    <s v="On time"/>
  </r>
  <r>
    <s v="PO004"/>
    <d v="2026-02-23T00:00:00"/>
    <d v="2026-03-05T00:00:00"/>
    <d v="2026-03-07T00:00:00"/>
    <x v="3"/>
    <x v="3"/>
    <s v="PPE-001"/>
    <n v="1800"/>
    <n v="1793"/>
    <n v="48"/>
    <n v="412.14"/>
    <s v="Routine"/>
    <x v="3"/>
    <s v="Industrial Safety Helmet"/>
    <x v="0"/>
    <n v="741852"/>
    <n v="12"/>
    <n v="2"/>
    <n v="2.6770775237032907E-2"/>
    <s v="Slightly delay"/>
  </r>
  <r>
    <s v="PO005"/>
    <d v="2026-06-11T00:00:00"/>
    <d v="2026-06-18T00:00:00"/>
    <d v="2026-06-20T00:00:00"/>
    <x v="0"/>
    <x v="4"/>
    <s v="PPE-002"/>
    <n v="900"/>
    <n v="900"/>
    <n v="3"/>
    <n v="796.23"/>
    <s v="Routine"/>
    <x v="4"/>
    <s v="Nitrile Gloves - Box of 100"/>
    <x v="0"/>
    <n v="716607"/>
    <n v="9"/>
    <n v="2"/>
    <n v="3.3333333333333335E-3"/>
    <s v="Slightly delay"/>
  </r>
  <r>
    <s v="PO006"/>
    <d v="2026-05-23T00:00:00"/>
    <d v="2026-06-04T00:00:00"/>
    <d v="2026-06-14T00:00:00"/>
    <x v="1"/>
    <x v="5"/>
    <s v="ELE-004"/>
    <n v="320"/>
    <n v="314"/>
    <n v="11"/>
    <n v="1728.27"/>
    <s v="Routine"/>
    <x v="5"/>
    <s v="Industrial LED High-Bay Light"/>
    <x v="2"/>
    <n v="553046.4"/>
    <n v="22"/>
    <n v="10"/>
    <n v="3.5031847133757961E-2"/>
    <s v="Seriously late"/>
  </r>
  <r>
    <s v="PO007"/>
    <d v="2026-05-14T00:00:00"/>
    <d v="2026-05-23T00:00:00"/>
    <d v="2026-05-26T00:00:00"/>
    <x v="2"/>
    <x v="0"/>
    <s v="TOOL-002"/>
    <n v="70"/>
    <n v="70"/>
    <n v="1"/>
    <n v="4661.53"/>
    <s v="Routine"/>
    <x v="0"/>
    <s v="Industrial Torque Wrench"/>
    <x v="3"/>
    <n v="326307.09999999998"/>
    <n v="12"/>
    <n v="3"/>
    <n v="1.4285714285714285E-2"/>
    <s v="Slightly delay"/>
  </r>
  <r>
    <s v="PO008"/>
    <d v="2026-03-05T00:00:00"/>
    <d v="2026-03-14T00:00:00"/>
    <d v="2026-03-18T00:00:00"/>
    <x v="3"/>
    <x v="0"/>
    <s v="TOOL-001"/>
    <n v="70"/>
    <n v="69"/>
    <n v="1"/>
    <n v="3798.16"/>
    <s v="Routine"/>
    <x v="0"/>
    <s v="Industrial Angle Grinder"/>
    <x v="3"/>
    <n v="265871.2"/>
    <n v="13"/>
    <n v="4"/>
    <n v="1.4492753623188406E-2"/>
    <s v="Seriously late"/>
  </r>
  <r>
    <s v="PO009"/>
    <d v="2026-01-24T00:00:00"/>
    <d v="2026-02-02T00:00:00"/>
    <d v="2026-02-04T00:00:00"/>
    <x v="0"/>
    <x v="0"/>
    <s v="ELE-004"/>
    <n v="480"/>
    <n v="479"/>
    <n v="14"/>
    <n v="1815.56"/>
    <s v="Routine"/>
    <x v="0"/>
    <s v="Industrial LED High-Bay Light"/>
    <x v="2"/>
    <n v="871468.79999999993"/>
    <n v="11"/>
    <n v="2"/>
    <n v="2.9227557411273485E-2"/>
    <s v="Slightly delay"/>
  </r>
  <r>
    <s v="PO010"/>
    <d v="2026-01-29T00:00:00"/>
    <d v="2026-02-08T00:00:00"/>
    <d v="2026-02-09T00:00:00"/>
    <x v="1"/>
    <x v="3"/>
    <s v="ELE-003"/>
    <n v="260"/>
    <n v="258"/>
    <n v="8"/>
    <n v="2112.3200000000002"/>
    <s v="Routine"/>
    <x v="3"/>
    <s v="Three-Phase Contactor"/>
    <x v="2"/>
    <n v="549203.20000000007"/>
    <n v="11"/>
    <n v="1"/>
    <n v="3.1007751937984496E-2"/>
    <s v="Slightly delay"/>
  </r>
  <r>
    <s v="PO011"/>
    <d v="2026-05-06T00:00:00"/>
    <d v="2026-05-19T00:00:00"/>
    <d v="2026-05-25T00:00:00"/>
    <x v="2"/>
    <x v="6"/>
    <s v="BRG-002"/>
    <n v="530"/>
    <n v="518"/>
    <n v="32"/>
    <n v="2703.64"/>
    <s v="Routine"/>
    <x v="6"/>
    <s v="Industrial Roller Bearing"/>
    <x v="1"/>
    <n v="1432929.2"/>
    <n v="19"/>
    <n v="6"/>
    <n v="6.1776061776061778E-2"/>
    <s v="Seriously late"/>
  </r>
  <r>
    <s v="PO012"/>
    <d v="2026-02-07T00:00:00"/>
    <d v="2026-02-12T00:00:00"/>
    <d v="2026-02-20T00:00:00"/>
    <x v="3"/>
    <x v="7"/>
    <s v="PPE-003"/>
    <n v="1450"/>
    <n v="1427"/>
    <n v="75"/>
    <n v="278.2"/>
    <s v="Routine"/>
    <x v="7"/>
    <s v="Safety Goggles"/>
    <x v="0"/>
    <n v="403390"/>
    <n v="13"/>
    <n v="8"/>
    <n v="5.2557813594954449E-2"/>
    <s v="Seriously late"/>
  </r>
  <r>
    <s v="PO013"/>
    <d v="2026-03-19T00:00:00"/>
    <d v="2026-03-30T00:00:00"/>
    <d v="2026-04-02T00:00:00"/>
    <x v="0"/>
    <x v="1"/>
    <s v="BRG-002"/>
    <n v="330"/>
    <n v="328"/>
    <n v="2"/>
    <n v="2905.05"/>
    <s v="Routine"/>
    <x v="1"/>
    <s v="Industrial Roller Bearing"/>
    <x v="1"/>
    <n v="958666.50000000012"/>
    <n v="14"/>
    <n v="3"/>
    <n v="6.0975609756097563E-3"/>
    <s v="Slightly delay"/>
  </r>
  <r>
    <s v="PO014"/>
    <d v="2026-04-20T00:00:00"/>
    <d v="2026-04-27T00:00:00"/>
    <d v="2026-05-02T00:00:00"/>
    <x v="1"/>
    <x v="0"/>
    <s v="BRG-002"/>
    <n v="190"/>
    <n v="189"/>
    <n v="4"/>
    <n v="2946.33"/>
    <s v="Urgent"/>
    <x v="0"/>
    <s v="Industrial Roller Bearing"/>
    <x v="1"/>
    <n v="559802.69999999995"/>
    <n v="12"/>
    <n v="5"/>
    <n v="2.1164021164021163E-2"/>
    <s v="Seriously late"/>
  </r>
  <r>
    <s v="PO015"/>
    <d v="2026-05-29T00:00:00"/>
    <d v="2026-06-07T00:00:00"/>
    <d v="2026-06-10T00:00:00"/>
    <x v="2"/>
    <x v="0"/>
    <s v="ELE-003"/>
    <n v="660"/>
    <n v="650"/>
    <n v="11"/>
    <n v="2085.0700000000002"/>
    <s v="Routine"/>
    <x v="0"/>
    <s v="Three-Phase Contactor"/>
    <x v="2"/>
    <n v="1376146.2000000002"/>
    <n v="12"/>
    <n v="3"/>
    <n v="1.6923076923076923E-2"/>
    <s v="Slightly delay"/>
  </r>
  <r>
    <s v="PO016"/>
    <d v="2026-03-21T00:00:00"/>
    <d v="2026-03-28T00:00:00"/>
    <d v="2026-04-02T00:00:00"/>
    <x v="3"/>
    <x v="0"/>
    <s v="BRG-001"/>
    <n v="500"/>
    <n v="498"/>
    <n v="10"/>
    <n v="1216.8699999999999"/>
    <s v="Urgent"/>
    <x v="0"/>
    <s v="Deep-Groove Ball Bearing"/>
    <x v="1"/>
    <n v="608435"/>
    <n v="12"/>
    <n v="5"/>
    <n v="2.0080321285140562E-2"/>
    <s v="Seriously late"/>
  </r>
  <r>
    <s v="PO017"/>
    <d v="2026-03-28T00:00:00"/>
    <d v="2026-04-06T00:00:00"/>
    <d v="2026-04-11T00:00:00"/>
    <x v="0"/>
    <x v="1"/>
    <s v="BRG-002"/>
    <n v="470"/>
    <n v="466"/>
    <n v="5"/>
    <n v="3085.45"/>
    <s v="Urgent"/>
    <x v="1"/>
    <s v="Industrial Roller Bearing"/>
    <x v="1"/>
    <n v="1450161.5"/>
    <n v="14"/>
    <n v="5"/>
    <n v="1.0729613733905579E-2"/>
    <s v="Seriously late"/>
  </r>
  <r>
    <s v="PO018"/>
    <d v="2026-05-21T00:00:00"/>
    <d v="2026-05-31T00:00:00"/>
    <d v="2026-05-30T00:00:00"/>
    <x v="1"/>
    <x v="3"/>
    <s v="PPE-004"/>
    <n v="1650"/>
    <n v="1639"/>
    <n v="52"/>
    <n v="508.65"/>
    <s v="Routine"/>
    <x v="3"/>
    <s v="Reflective Safety Jacket"/>
    <x v="0"/>
    <n v="839272.5"/>
    <n v="9"/>
    <n v="0"/>
    <n v="3.1726662599145819E-2"/>
    <s v="On time"/>
  </r>
  <r>
    <s v="PO019"/>
    <d v="2026-02-01T00:00:00"/>
    <d v="2026-02-10T00:00:00"/>
    <d v="2026-02-13T00:00:00"/>
    <x v="2"/>
    <x v="0"/>
    <s v="BRG-003"/>
    <n v="220"/>
    <n v="217"/>
    <n v="5"/>
    <n v="1362.67"/>
    <s v="Routine"/>
    <x v="0"/>
    <s v="Heavy-Duty Industrial Belt"/>
    <x v="1"/>
    <n v="299787.40000000002"/>
    <n v="12"/>
    <n v="3"/>
    <n v="2.3041474654377881E-2"/>
    <s v="Slightly delay"/>
  </r>
  <r>
    <s v="PO020"/>
    <d v="2026-01-19T00:00:00"/>
    <d v="2026-01-28T00:00:00"/>
    <d v="2026-01-31T00:00:00"/>
    <x v="3"/>
    <x v="8"/>
    <s v="ELE-002"/>
    <n v="480"/>
    <n v="471"/>
    <n v="4"/>
    <n v="4189.04"/>
    <s v="Routine"/>
    <x v="8"/>
    <s v="Copper Cable Roll - 100 m"/>
    <x v="2"/>
    <n v="2010739.2"/>
    <n v="12"/>
    <n v="3"/>
    <n v="8.4925690021231421E-3"/>
    <s v="Slightly delay"/>
  </r>
  <r>
    <s v="PO021"/>
    <d v="2026-03-13T00:00:00"/>
    <d v="2026-03-22T00:00:00"/>
    <d v="2026-03-25T00:00:00"/>
    <x v="0"/>
    <x v="9"/>
    <s v="PPE-003"/>
    <n v="2500"/>
    <n v="2466"/>
    <n v="1"/>
    <n v="303.87"/>
    <s v="Routine"/>
    <x v="9"/>
    <s v="Safety Goggles"/>
    <x v="0"/>
    <n v="759675"/>
    <n v="12"/>
    <n v="3"/>
    <n v="4.0551500405515005E-4"/>
    <s v="Slightly delay"/>
  </r>
  <r>
    <s v="PO022"/>
    <d v="2026-03-09T00:00:00"/>
    <d v="2026-03-14T00:00:00"/>
    <d v="2026-03-17T00:00:00"/>
    <x v="1"/>
    <x v="7"/>
    <s v="PPE-002"/>
    <n v="2250"/>
    <n v="2216"/>
    <n v="196"/>
    <n v="708.65"/>
    <s v="Routine"/>
    <x v="7"/>
    <s v="Nitrile Gloves - Box of 100"/>
    <x v="0"/>
    <n v="1594462.5"/>
    <n v="8"/>
    <n v="3"/>
    <n v="8.8447653429602882E-2"/>
    <s v="Slightly delay"/>
  </r>
  <r>
    <s v="PO023"/>
    <d v="2026-03-22T00:00:00"/>
    <d v="2026-03-31T00:00:00"/>
    <d v="2026-04-02T00:00:00"/>
    <x v="2"/>
    <x v="0"/>
    <s v="ELE-001"/>
    <n v="500"/>
    <n v="498"/>
    <n v="8"/>
    <n v="581.37"/>
    <s v="Routine"/>
    <x v="0"/>
    <s v="Miniature Circuit Breaker 32A"/>
    <x v="2"/>
    <n v="290685"/>
    <n v="11"/>
    <n v="2"/>
    <n v="1.6064257028112448E-2"/>
    <s v="Slightly delay"/>
  </r>
  <r>
    <s v="PO024"/>
    <d v="2026-02-02T00:00:00"/>
    <d v="2026-02-11T00:00:00"/>
    <d v="2026-02-15T00:00:00"/>
    <x v="3"/>
    <x v="1"/>
    <s v="BRG-003"/>
    <n v="450"/>
    <n v="450"/>
    <n v="10"/>
    <n v="1477.94"/>
    <s v="Urgent"/>
    <x v="1"/>
    <s v="Heavy-Duty Industrial Belt"/>
    <x v="1"/>
    <n v="665073"/>
    <n v="13"/>
    <n v="4"/>
    <n v="2.2222222222222223E-2"/>
    <s v="Seriously late"/>
  </r>
  <r>
    <s v="PO025"/>
    <d v="2026-02-07T00:00:00"/>
    <d v="2026-02-17T00:00:00"/>
    <d v="2026-02-20T00:00:00"/>
    <x v="0"/>
    <x v="3"/>
    <s v="PPE-002"/>
    <n v="1350"/>
    <n v="1350"/>
    <n v="38"/>
    <n v="706.41"/>
    <s v="Routine"/>
    <x v="3"/>
    <s v="Nitrile Gloves - Box of 100"/>
    <x v="0"/>
    <n v="953653.5"/>
    <n v="13"/>
    <n v="3"/>
    <n v="2.8148148148148148E-2"/>
    <s v="Slightly delay"/>
  </r>
  <r>
    <s v="PO026"/>
    <d v="2026-05-23T00:00:00"/>
    <d v="2026-06-01T00:00:00"/>
    <d v="2026-06-02T00:00:00"/>
    <x v="1"/>
    <x v="8"/>
    <s v="ELE-001"/>
    <n v="700"/>
    <n v="700"/>
    <n v="13"/>
    <n v="608.45000000000005"/>
    <s v="Routine"/>
    <x v="8"/>
    <s v="Miniature Circuit Breaker 32A"/>
    <x v="2"/>
    <n v="425915.00000000006"/>
    <n v="10"/>
    <n v="1"/>
    <n v="1.8571428571428572E-2"/>
    <s v="Slightly delay"/>
  </r>
  <r>
    <s v="PO027"/>
    <d v="2026-04-27T00:00:00"/>
    <d v="2026-05-06T00:00:00"/>
    <d v="2026-05-11T00:00:00"/>
    <x v="2"/>
    <x v="0"/>
    <s v="TOOL-002"/>
    <n v="30"/>
    <n v="30"/>
    <n v="1"/>
    <n v="4735.3900000000003"/>
    <s v="Routine"/>
    <x v="0"/>
    <s v="Industrial Torque Wrench"/>
    <x v="3"/>
    <n v="142061.70000000001"/>
    <n v="14"/>
    <n v="5"/>
    <n v="3.3333333333333333E-2"/>
    <s v="Seriously late"/>
  </r>
  <r>
    <s v="PO028"/>
    <d v="2026-01-26T00:00:00"/>
    <d v="2026-02-03T00:00:00"/>
    <d v="2026-02-05T00:00:00"/>
    <x v="3"/>
    <x v="2"/>
    <s v="ELE-002"/>
    <n v="260"/>
    <n v="260"/>
    <n v="2"/>
    <n v="4182.45"/>
    <s v="Routine"/>
    <x v="2"/>
    <s v="Copper Cable Roll - 100 m"/>
    <x v="2"/>
    <n v="1087437"/>
    <n v="10"/>
    <n v="2"/>
    <n v="7.6923076923076927E-3"/>
    <s v="Slightly delay"/>
  </r>
  <r>
    <s v="PO029"/>
    <d v="2026-04-16T00:00:00"/>
    <d v="2026-04-23T00:00:00"/>
    <d v="2026-04-27T00:00:00"/>
    <x v="0"/>
    <x v="0"/>
    <s v="CLN-001"/>
    <n v="90"/>
    <n v="89"/>
    <n v="3"/>
    <n v="3105.7"/>
    <s v="Urgent"/>
    <x v="0"/>
    <s v="Industrial Degreaser - 20 L"/>
    <x v="4"/>
    <n v="279513"/>
    <n v="11"/>
    <n v="4"/>
    <n v="3.3707865168539325E-2"/>
    <s v="Seriously late"/>
  </r>
  <r>
    <s v="PO030"/>
    <d v="2026-04-30T00:00:00"/>
    <d v="2026-05-10T00:00:00"/>
    <d v="2026-05-16T00:00:00"/>
    <x v="1"/>
    <x v="3"/>
    <s v="ELE-003"/>
    <n v="660"/>
    <n v="654"/>
    <n v="19"/>
    <n v="2178.3000000000002"/>
    <s v="Routine"/>
    <x v="3"/>
    <s v="Three-Phase Contactor"/>
    <x v="2"/>
    <n v="1437678.0000000002"/>
    <n v="16"/>
    <n v="6"/>
    <n v="2.9051987767584098E-2"/>
    <s v="Seriously late"/>
  </r>
  <r>
    <s v="PO031"/>
    <d v="2026-02-20T00:00:00"/>
    <d v="2026-03-01T00:00:00"/>
    <d v="2026-03-03T00:00:00"/>
    <x v="2"/>
    <x v="9"/>
    <s v="PPE-001"/>
    <n v="1300"/>
    <n v="1292"/>
    <n v="26"/>
    <n v="445.4"/>
    <s v="Routine"/>
    <x v="9"/>
    <s v="Industrial Safety Helmet"/>
    <x v="0"/>
    <n v="579020"/>
    <n v="11"/>
    <n v="2"/>
    <n v="2.0123839009287926E-2"/>
    <s v="Slightly delay"/>
  </r>
  <r>
    <s v="PO032"/>
    <d v="2026-04-26T00:00:00"/>
    <d v="2026-05-09T00:00:00"/>
    <d v="2026-05-16T00:00:00"/>
    <x v="3"/>
    <x v="6"/>
    <s v="BRG-001"/>
    <n v="180"/>
    <n v="177"/>
    <n v="20"/>
    <n v="1141.78"/>
    <s v="Routine"/>
    <x v="6"/>
    <s v="Deep-Groove Ball Bearing"/>
    <x v="1"/>
    <n v="205520.4"/>
    <n v="20"/>
    <n v="7"/>
    <n v="0.11299435028248588"/>
    <s v="Seriously late"/>
  </r>
  <r>
    <s v="PO033"/>
    <d v="2026-06-13T00:00:00"/>
    <d v="2026-06-21T00:00:00"/>
    <d v="2026-06-24T00:00:00"/>
    <x v="0"/>
    <x v="10"/>
    <s v="CLN-003"/>
    <n v="350"/>
    <n v="348"/>
    <n v="2"/>
    <n v="970.68"/>
    <s v="Routine"/>
    <x v="10"/>
    <s v="Industrial Wipes - Carton"/>
    <x v="4"/>
    <n v="339738"/>
    <n v="11"/>
    <n v="3"/>
    <n v="5.7471264367816091E-3"/>
    <s v="Slightly delay"/>
  </r>
  <r>
    <s v="PO034"/>
    <d v="2026-02-06T00:00:00"/>
    <d v="2026-02-15T00:00:00"/>
    <d v="2026-02-16T00:00:00"/>
    <x v="1"/>
    <x v="9"/>
    <s v="PPE-004"/>
    <n v="1250"/>
    <n v="1236"/>
    <n v="10"/>
    <n v="550.37"/>
    <s v="Routine"/>
    <x v="9"/>
    <s v="Reflective Safety Jacket"/>
    <x v="0"/>
    <n v="687962.5"/>
    <n v="10"/>
    <n v="1"/>
    <n v="8.0906148867313909E-3"/>
    <s v="Slightly delay"/>
  </r>
  <r>
    <s v="PO035"/>
    <d v="2026-02-18T00:00:00"/>
    <d v="2026-02-27T00:00:00"/>
    <d v="2026-03-01T00:00:00"/>
    <x v="2"/>
    <x v="0"/>
    <s v="TOOL-001"/>
    <n v="130"/>
    <n v="129"/>
    <n v="3"/>
    <n v="3601.17"/>
    <s v="Routine"/>
    <x v="0"/>
    <s v="Industrial Angle Grinder"/>
    <x v="3"/>
    <n v="468152.10000000003"/>
    <n v="11"/>
    <n v="2"/>
    <n v="2.3255813953488372E-2"/>
    <s v="Slightly delay"/>
  </r>
  <r>
    <s v="PO036"/>
    <d v="2026-02-05T00:00:00"/>
    <d v="2026-02-14T00:00:00"/>
    <d v="2026-02-17T00:00:00"/>
    <x v="3"/>
    <x v="0"/>
    <s v="TOOL-002"/>
    <n v="80"/>
    <n v="79"/>
    <n v="3"/>
    <n v="4563.51"/>
    <s v="Routine"/>
    <x v="0"/>
    <s v="Industrial Torque Wrench"/>
    <x v="3"/>
    <n v="365080.80000000005"/>
    <n v="12"/>
    <n v="3"/>
    <n v="3.7974683544303799E-2"/>
    <s v="Slightly delay"/>
  </r>
  <r>
    <s v="PO037"/>
    <d v="2026-04-15T00:00:00"/>
    <d v="2026-04-20T00:00:00"/>
    <d v="2026-04-22T00:00:00"/>
    <x v="0"/>
    <x v="7"/>
    <s v="PPE-001"/>
    <n v="1850"/>
    <n v="1814"/>
    <n v="101"/>
    <n v="384.09"/>
    <s v="Routine"/>
    <x v="7"/>
    <s v="Industrial Safety Helmet"/>
    <x v="0"/>
    <n v="710566.5"/>
    <n v="7"/>
    <n v="2"/>
    <n v="5.567805953693495E-2"/>
    <s v="Slightly delay"/>
  </r>
  <r>
    <s v="PO038"/>
    <d v="2026-05-12T00:00:00"/>
    <d v="2026-05-16T00:00:00"/>
    <d v="2026-05-17T00:00:00"/>
    <x v="1"/>
    <x v="11"/>
    <s v="TOOL-002"/>
    <n v="40"/>
    <n v="40"/>
    <n v="1"/>
    <n v="5223.4799999999996"/>
    <s v="Urgent"/>
    <x v="11"/>
    <s v="Industrial Torque Wrench"/>
    <x v="3"/>
    <n v="208939.19999999998"/>
    <n v="5"/>
    <n v="1"/>
    <n v="2.5000000000000001E-2"/>
    <s v="Slightly delay"/>
  </r>
  <r>
    <s v="PO039"/>
    <d v="2026-04-13T00:00:00"/>
    <d v="2026-04-21T00:00:00"/>
    <d v="2026-04-20T00:00:00"/>
    <x v="2"/>
    <x v="10"/>
    <s v="CLN-004"/>
    <n v="250"/>
    <n v="249"/>
    <n v="2"/>
    <n v="5318.93"/>
    <s v="Routine"/>
    <x v="10"/>
    <s v="Multipurpose Lubricant - Drum"/>
    <x v="4"/>
    <n v="1329732.5"/>
    <n v="7"/>
    <n v="0"/>
    <n v="8.0321285140562242E-3"/>
    <s v="On time"/>
  </r>
  <r>
    <s v="PO040"/>
    <d v="2026-03-26T00:00:00"/>
    <d v="2026-04-06T00:00:00"/>
    <d v="2026-04-08T00:00:00"/>
    <x v="3"/>
    <x v="1"/>
    <s v="BRG-001"/>
    <n v="440"/>
    <n v="438"/>
    <n v="8"/>
    <n v="1244.3399999999999"/>
    <s v="Routine"/>
    <x v="1"/>
    <s v="Deep-Groove Ball Bearing"/>
    <x v="1"/>
    <n v="547509.6"/>
    <n v="13"/>
    <n v="2"/>
    <n v="1.8264840182648401E-2"/>
    <s v="Slightly delay"/>
  </r>
  <r>
    <s v="PO041"/>
    <d v="2026-06-15T00:00:00"/>
    <d v="2026-06-24T00:00:00"/>
    <d v="2026-06-26T00:00:00"/>
    <x v="0"/>
    <x v="0"/>
    <s v="BRG-001"/>
    <n v="420"/>
    <n v="419"/>
    <n v="19"/>
    <n v="1155.3"/>
    <s v="Routine"/>
    <x v="0"/>
    <s v="Deep-Groove Ball Bearing"/>
    <x v="1"/>
    <n v="485226"/>
    <n v="11"/>
    <n v="2"/>
    <n v="4.5346062052505964E-2"/>
    <s v="Slightly delay"/>
  </r>
  <r>
    <s v="PO042"/>
    <d v="2026-03-31T00:00:00"/>
    <d v="2026-04-13T00:00:00"/>
    <d v="2026-04-17T00:00:00"/>
    <x v="1"/>
    <x v="6"/>
    <s v="BRG-002"/>
    <n v="540"/>
    <n v="523"/>
    <n v="65"/>
    <n v="2740.57"/>
    <s v="Routine"/>
    <x v="6"/>
    <s v="Industrial Roller Bearing"/>
    <x v="1"/>
    <n v="1479907.8"/>
    <n v="17"/>
    <n v="4"/>
    <n v="0.124282982791587"/>
    <s v="Seriously late"/>
  </r>
  <r>
    <s v="PO043"/>
    <d v="2026-01-12T00:00:00"/>
    <d v="2026-01-22T00:00:00"/>
    <d v="2026-01-25T00:00:00"/>
    <x v="2"/>
    <x v="3"/>
    <s v="ELE-002"/>
    <n v="680"/>
    <n v="677"/>
    <n v="11"/>
    <n v="4068.6"/>
    <s v="Routine"/>
    <x v="3"/>
    <s v="Copper Cable Roll - 100 m"/>
    <x v="2"/>
    <n v="2766648"/>
    <n v="13"/>
    <n v="3"/>
    <n v="1.6248153618906941E-2"/>
    <s v="Slightly delay"/>
  </r>
  <r>
    <s v="PO044"/>
    <d v="2026-05-21T00:00:00"/>
    <d v="2026-05-29T00:00:00"/>
    <d v="2026-05-29T00:00:00"/>
    <x v="3"/>
    <x v="2"/>
    <s v="TOOL-003"/>
    <n v="150"/>
    <n v="150"/>
    <n v="4"/>
    <n v="6345.27"/>
    <s v="Routine"/>
    <x v="2"/>
    <s v="Heavy-Duty Drill Machine"/>
    <x v="3"/>
    <n v="951790.50000000012"/>
    <n v="8"/>
    <n v="0"/>
    <n v="2.6666666666666668E-2"/>
    <s v="On time"/>
  </r>
  <r>
    <s v="PO045"/>
    <d v="2026-06-04T00:00:00"/>
    <d v="2026-06-14T00:00:00"/>
    <d v="2026-06-17T00:00:00"/>
    <x v="0"/>
    <x v="5"/>
    <s v="BRG-002"/>
    <n v="540"/>
    <n v="536"/>
    <n v="22"/>
    <n v="2775.22"/>
    <s v="Urgent"/>
    <x v="5"/>
    <s v="Industrial Roller Bearing"/>
    <x v="1"/>
    <n v="1498618.7999999998"/>
    <n v="13"/>
    <n v="3"/>
    <n v="4.1044776119402986E-2"/>
    <s v="Slightly delay"/>
  </r>
  <r>
    <s v="PO046"/>
    <d v="2026-05-28T00:00:00"/>
    <d v="2026-06-09T00:00:00"/>
    <d v="2026-06-12T00:00:00"/>
    <x v="1"/>
    <x v="5"/>
    <s v="ELE-004"/>
    <n v="320"/>
    <n v="314"/>
    <n v="9"/>
    <n v="1742.43"/>
    <s v="Routine"/>
    <x v="5"/>
    <s v="Industrial LED High-Bay Light"/>
    <x v="2"/>
    <n v="557577.6"/>
    <n v="15"/>
    <n v="3"/>
    <n v="2.8662420382165606E-2"/>
    <s v="Slightly delay"/>
  </r>
  <r>
    <s v="PO047"/>
    <d v="2026-06-05T00:00:00"/>
    <d v="2026-06-13T00:00:00"/>
    <d v="2026-06-17T00:00:00"/>
    <x v="2"/>
    <x v="3"/>
    <s v="PPE-003"/>
    <n v="2550"/>
    <n v="2536"/>
    <n v="36"/>
    <n v="303.92"/>
    <s v="Urgent"/>
    <x v="3"/>
    <s v="Safety Goggles"/>
    <x v="0"/>
    <n v="774996"/>
    <n v="12"/>
    <n v="4"/>
    <n v="1.4195583596214511E-2"/>
    <s v="Seriously late"/>
  </r>
  <r>
    <s v="PO048"/>
    <d v="2026-03-08T00:00:00"/>
    <d v="2026-03-16T00:00:00"/>
    <d v="2026-03-18T00:00:00"/>
    <x v="3"/>
    <x v="10"/>
    <s v="CLN-003"/>
    <n v="60"/>
    <n v="60"/>
    <n v="1"/>
    <n v="914.88"/>
    <s v="Routine"/>
    <x v="10"/>
    <s v="Industrial Wipes - Carton"/>
    <x v="4"/>
    <n v="54892.800000000003"/>
    <n v="10"/>
    <n v="2"/>
    <n v="1.6666666666666666E-2"/>
    <s v="Slightly delay"/>
  </r>
  <r>
    <s v="PO049"/>
    <d v="2026-03-03T00:00:00"/>
    <d v="2026-03-09T00:00:00"/>
    <d v="2026-03-09T00:00:00"/>
    <x v="0"/>
    <x v="10"/>
    <s v="CLN-002"/>
    <n v="140"/>
    <n v="140"/>
    <n v="3"/>
    <n v="1706.07"/>
    <s v="Urgent"/>
    <x v="10"/>
    <s v="Chemical Absorbent Pads - Pack"/>
    <x v="4"/>
    <n v="238849.8"/>
    <n v="6"/>
    <n v="0"/>
    <n v="2.1428571428571429E-2"/>
    <s v="On time"/>
  </r>
  <r>
    <s v="PO050"/>
    <d v="2026-03-18T00:00:00"/>
    <d v="2026-03-27T00:00:00"/>
    <d v="2026-03-26T00:00:00"/>
    <x v="1"/>
    <x v="8"/>
    <s v="ELE-004"/>
    <n v="180"/>
    <n v="180"/>
    <n v="0"/>
    <n v="1762.81"/>
    <s v="Routine"/>
    <x v="8"/>
    <s v="Industrial LED High-Bay Light"/>
    <x v="2"/>
    <n v="317305.8"/>
    <n v="8"/>
    <n v="0"/>
    <n v="0"/>
    <s v="On time"/>
  </r>
  <r>
    <s v="PO051"/>
    <d v="2026-03-12T00:00:00"/>
    <d v="2026-03-20T00:00:00"/>
    <d v="2026-03-21T00:00:00"/>
    <x v="2"/>
    <x v="2"/>
    <s v="TOOL-003"/>
    <n v="30"/>
    <n v="30"/>
    <n v="0"/>
    <n v="6122.34"/>
    <s v="Routine"/>
    <x v="2"/>
    <s v="Heavy-Duty Drill Machine"/>
    <x v="3"/>
    <n v="183670.2"/>
    <n v="9"/>
    <n v="1"/>
    <n v="0"/>
    <s v="Slightly delay"/>
  </r>
  <r>
    <s v="PO052"/>
    <d v="2026-06-10T00:00:00"/>
    <d v="2026-06-22T00:00:00"/>
    <d v="2026-06-24T00:00:00"/>
    <x v="3"/>
    <x v="5"/>
    <s v="BRG-002"/>
    <n v="480"/>
    <n v="469"/>
    <n v="25"/>
    <n v="2643.72"/>
    <s v="Routine"/>
    <x v="5"/>
    <s v="Industrial Roller Bearing"/>
    <x v="1"/>
    <n v="1268985.5999999999"/>
    <n v="14"/>
    <n v="2"/>
    <n v="5.3304904051172705E-2"/>
    <s v="Slightly delay"/>
  </r>
  <r>
    <s v="PO053"/>
    <d v="2026-03-22T00:00:00"/>
    <d v="2026-03-31T00:00:00"/>
    <d v="2026-04-04T00:00:00"/>
    <x v="0"/>
    <x v="0"/>
    <s v="CLN-001"/>
    <n v="320"/>
    <n v="314"/>
    <n v="10"/>
    <n v="2911.51"/>
    <s v="Routine"/>
    <x v="0"/>
    <s v="Industrial Degreaser - 20 L"/>
    <x v="4"/>
    <n v="931683.20000000007"/>
    <n v="13"/>
    <n v="4"/>
    <n v="3.1847133757961783E-2"/>
    <s v="Seriously late"/>
  </r>
  <r>
    <s v="PO054"/>
    <d v="2026-03-11T00:00:00"/>
    <d v="2026-03-18T00:00:00"/>
    <d v="2026-03-24T00:00:00"/>
    <x v="1"/>
    <x v="0"/>
    <s v="TOOL-001"/>
    <n v="110"/>
    <n v="110"/>
    <n v="4"/>
    <n v="3874.81"/>
    <s v="Urgent"/>
    <x v="0"/>
    <s v="Industrial Angle Grinder"/>
    <x v="3"/>
    <n v="426229.1"/>
    <n v="13"/>
    <n v="6"/>
    <n v="3.6363636363636362E-2"/>
    <s v="Seriously late"/>
  </r>
  <r>
    <s v="PO055"/>
    <d v="2026-05-06T00:00:00"/>
    <d v="2026-05-11T00:00:00"/>
    <d v="2026-05-15T00:00:00"/>
    <x v="2"/>
    <x v="7"/>
    <s v="PPE-003"/>
    <n v="1800"/>
    <n v="1756"/>
    <n v="103"/>
    <n v="279.66000000000003"/>
    <s v="Routine"/>
    <x v="7"/>
    <s v="Safety Goggles"/>
    <x v="0"/>
    <n v="503388.00000000006"/>
    <n v="9"/>
    <n v="4"/>
    <n v="5.8656036446469245E-2"/>
    <s v="Seriously late"/>
  </r>
  <r>
    <s v="PO056"/>
    <d v="2026-03-21T00:00:00"/>
    <d v="2026-04-02T00:00:00"/>
    <d v="2026-04-10T00:00:00"/>
    <x v="3"/>
    <x v="5"/>
    <s v="BRG-003"/>
    <n v="260"/>
    <n v="255"/>
    <n v="13"/>
    <n v="1364.07"/>
    <s v="Routine"/>
    <x v="5"/>
    <s v="Heavy-Duty Industrial Belt"/>
    <x v="1"/>
    <n v="354658.2"/>
    <n v="20"/>
    <n v="8"/>
    <n v="5.0980392156862744E-2"/>
    <s v="Seriously late"/>
  </r>
  <r>
    <s v="PO057"/>
    <d v="2026-06-20T00:00:00"/>
    <d v="2026-06-27T00:00:00"/>
    <d v="2026-06-30T00:00:00"/>
    <x v="0"/>
    <x v="0"/>
    <s v="CLN-002"/>
    <n v="160"/>
    <n v="158"/>
    <n v="9"/>
    <n v="1675.36"/>
    <s v="Urgent"/>
    <x v="0"/>
    <s v="Chemical Absorbent Pads - Pack"/>
    <x v="4"/>
    <n v="268057.59999999998"/>
    <n v="10"/>
    <n v="3"/>
    <n v="5.6962025316455694E-2"/>
    <s v="Slightly delay"/>
  </r>
  <r>
    <s v="PO058"/>
    <d v="2026-03-04T00:00:00"/>
    <d v="2026-03-13T00:00:00"/>
    <d v="2026-03-16T00:00:00"/>
    <x v="1"/>
    <x v="0"/>
    <s v="TOOL-002"/>
    <n v="100"/>
    <n v="100"/>
    <n v="2"/>
    <n v="4478.43"/>
    <s v="Routine"/>
    <x v="0"/>
    <s v="Industrial Torque Wrench"/>
    <x v="3"/>
    <n v="447843"/>
    <n v="12"/>
    <n v="3"/>
    <n v="0.02"/>
    <s v="Slightly delay"/>
  </r>
  <r>
    <s v="PO059"/>
    <d v="2026-01-26T00:00:00"/>
    <d v="2026-01-31T00:00:00"/>
    <d v="2026-02-04T00:00:00"/>
    <x v="2"/>
    <x v="7"/>
    <s v="CLN-001"/>
    <n v="290"/>
    <n v="286"/>
    <n v="32"/>
    <n v="2603.14"/>
    <s v="Routine"/>
    <x v="7"/>
    <s v="Industrial Degreaser - 20 L"/>
    <x v="4"/>
    <n v="754910.6"/>
    <n v="9"/>
    <n v="4"/>
    <n v="0.11188811188811189"/>
    <s v="Seriously late"/>
  </r>
  <r>
    <s v="PO060"/>
    <d v="2026-01-19T00:00:00"/>
    <d v="2026-01-28T00:00:00"/>
    <d v="2026-02-01T00:00:00"/>
    <x v="3"/>
    <x v="0"/>
    <s v="TOOL-003"/>
    <n v="170"/>
    <n v="169"/>
    <n v="6"/>
    <n v="6093.68"/>
    <s v="Routine"/>
    <x v="0"/>
    <s v="Heavy-Duty Drill Machine"/>
    <x v="3"/>
    <n v="1035925.6000000001"/>
    <n v="13"/>
    <n v="4"/>
    <n v="3.5502958579881658E-2"/>
    <s v="Seriously late"/>
  </r>
  <r>
    <s v="PO061"/>
    <d v="2026-04-12T00:00:00"/>
    <d v="2026-04-20T00:00:00"/>
    <d v="2026-04-19T00:00:00"/>
    <x v="0"/>
    <x v="10"/>
    <s v="CLN-001"/>
    <n v="120"/>
    <n v="120"/>
    <n v="2"/>
    <n v="3103.88"/>
    <s v="Routine"/>
    <x v="10"/>
    <s v="Industrial Degreaser - 20 L"/>
    <x v="4"/>
    <n v="372465.60000000003"/>
    <n v="7"/>
    <n v="0"/>
    <n v="1.6666666666666666E-2"/>
    <s v="On time"/>
  </r>
  <r>
    <s v="PO062"/>
    <d v="2026-04-12T00:00:00"/>
    <d v="2026-04-17T00:00:00"/>
    <d v="2026-04-24T00:00:00"/>
    <x v="1"/>
    <x v="7"/>
    <s v="CLN-002"/>
    <n v="110"/>
    <n v="107"/>
    <n v="9"/>
    <n v="1440.19"/>
    <s v="Routine"/>
    <x v="7"/>
    <s v="Chemical Absorbent Pads - Pack"/>
    <x v="4"/>
    <n v="158420.9"/>
    <n v="12"/>
    <n v="7"/>
    <n v="8.4112149532710276E-2"/>
    <s v="Seriously late"/>
  </r>
  <r>
    <s v="PO063"/>
    <d v="2026-04-04T00:00:00"/>
    <d v="2026-04-13T00:00:00"/>
    <d v="2026-04-15T00:00:00"/>
    <x v="2"/>
    <x v="0"/>
    <s v="PPE-004"/>
    <n v="1950"/>
    <n v="1927"/>
    <n v="33"/>
    <n v="519.03"/>
    <s v="Routine"/>
    <x v="0"/>
    <s v="Reflective Safety Jacket"/>
    <x v="0"/>
    <n v="1012108.5"/>
    <n v="11"/>
    <n v="2"/>
    <n v="1.7125064867669952E-2"/>
    <s v="Slightly delay"/>
  </r>
  <r>
    <s v="PO064"/>
    <d v="2026-03-09T00:00:00"/>
    <d v="2026-03-18T00:00:00"/>
    <d v="2026-03-22T00:00:00"/>
    <x v="3"/>
    <x v="0"/>
    <s v="CLN-001"/>
    <n v="110"/>
    <n v="110"/>
    <n v="1"/>
    <n v="3054.34"/>
    <s v="Routine"/>
    <x v="0"/>
    <s v="Industrial Degreaser - 20 L"/>
    <x v="4"/>
    <n v="335977.4"/>
    <n v="13"/>
    <n v="4"/>
    <n v="9.0909090909090905E-3"/>
    <s v="Seriously late"/>
  </r>
  <r>
    <s v="PO065"/>
    <d v="2026-02-22T00:00:00"/>
    <d v="2026-02-27T00:00:00"/>
    <d v="2026-03-03T00:00:00"/>
    <x v="0"/>
    <x v="7"/>
    <s v="PPE-004"/>
    <n v="1700"/>
    <n v="1642"/>
    <n v="34"/>
    <n v="490.12"/>
    <s v="Routine"/>
    <x v="7"/>
    <s v="Reflective Safety Jacket"/>
    <x v="0"/>
    <n v="833204"/>
    <n v="9"/>
    <n v="4"/>
    <n v="2.0706455542021926E-2"/>
    <s v="Seriously late"/>
  </r>
  <r>
    <s v="PO066"/>
    <d v="2026-06-16T00:00:00"/>
    <d v="2026-06-22T00:00:00"/>
    <d v="2026-06-21T00:00:00"/>
    <x v="1"/>
    <x v="2"/>
    <s v="TOOL-003"/>
    <n v="130"/>
    <n v="130"/>
    <n v="1"/>
    <n v="6175.25"/>
    <s v="Urgent"/>
    <x v="2"/>
    <s v="Heavy-Duty Drill Machine"/>
    <x v="3"/>
    <n v="802782.5"/>
    <n v="5"/>
    <n v="0"/>
    <n v="7.6923076923076927E-3"/>
    <s v="On time"/>
  </r>
  <r>
    <s v="PO067"/>
    <d v="2026-04-21T00:00:00"/>
    <d v="2026-05-01T00:00:00"/>
    <d v="2026-05-09T00:00:00"/>
    <x v="2"/>
    <x v="3"/>
    <s v="ELE-003"/>
    <n v="420"/>
    <n v="418"/>
    <n v="18"/>
    <n v="2167.48"/>
    <s v="Routine"/>
    <x v="3"/>
    <s v="Three-Phase Contactor"/>
    <x v="2"/>
    <n v="910341.6"/>
    <n v="18"/>
    <n v="8"/>
    <n v="4.3062200956937802E-2"/>
    <s v="Seriously late"/>
  </r>
  <r>
    <s v="PO068"/>
    <d v="2026-01-12T00:00:00"/>
    <d v="2026-01-21T00:00:00"/>
    <d v="2026-01-26T00:00:00"/>
    <x v="3"/>
    <x v="0"/>
    <s v="PPE-004"/>
    <n v="2250"/>
    <n v="2224"/>
    <n v="81"/>
    <n v="508.3"/>
    <s v="Routine"/>
    <x v="0"/>
    <s v="Reflective Safety Jacket"/>
    <x v="0"/>
    <n v="1143675"/>
    <n v="14"/>
    <n v="5"/>
    <n v="3.6420863309352521E-2"/>
    <s v="Seriously late"/>
  </r>
  <r>
    <s v="PO069"/>
    <d v="2026-01-22T00:00:00"/>
    <d v="2026-02-03T00:00:00"/>
    <d v="2026-02-10T00:00:00"/>
    <x v="0"/>
    <x v="5"/>
    <s v="BRG-001"/>
    <n v="360"/>
    <n v="352"/>
    <n v="33"/>
    <n v="1148.96"/>
    <s v="Routine"/>
    <x v="5"/>
    <s v="Deep-Groove Ball Bearing"/>
    <x v="1"/>
    <n v="413625.60000000003"/>
    <n v="19"/>
    <n v="7"/>
    <n v="9.375E-2"/>
    <s v="Seriously late"/>
  </r>
  <r>
    <s v="PO070"/>
    <d v="2026-05-10T00:00:00"/>
    <d v="2026-05-21T00:00:00"/>
    <d v="2026-05-29T00:00:00"/>
    <x v="1"/>
    <x v="6"/>
    <s v="BRG-003"/>
    <n v="210"/>
    <n v="204"/>
    <n v="11"/>
    <n v="1331.21"/>
    <s v="Urgent"/>
    <x v="6"/>
    <s v="Heavy-Duty Industrial Belt"/>
    <x v="1"/>
    <n v="279554.10000000003"/>
    <n v="19"/>
    <n v="8"/>
    <n v="5.3921568627450983E-2"/>
    <s v="Seriously late"/>
  </r>
  <r>
    <s v="PO071"/>
    <d v="2026-01-30T00:00:00"/>
    <d v="2026-02-08T00:00:00"/>
    <d v="2026-02-07T00:00:00"/>
    <x v="2"/>
    <x v="0"/>
    <s v="PPE-003"/>
    <n v="1800"/>
    <n v="1781"/>
    <n v="103"/>
    <n v="312.16000000000003"/>
    <s v="Routine"/>
    <x v="0"/>
    <s v="Safety Goggles"/>
    <x v="0"/>
    <n v="561888"/>
    <n v="8"/>
    <n v="0"/>
    <n v="5.7832678270634472E-2"/>
    <s v="On time"/>
  </r>
  <r>
    <s v="PO072"/>
    <d v="2026-03-29T00:00:00"/>
    <d v="2026-04-10T00:00:00"/>
    <d v="2026-04-16T00:00:00"/>
    <x v="3"/>
    <x v="5"/>
    <s v="BRG-003"/>
    <n v="260"/>
    <n v="257"/>
    <n v="12"/>
    <n v="1357.94"/>
    <s v="Routine"/>
    <x v="5"/>
    <s v="Heavy-Duty Industrial Belt"/>
    <x v="1"/>
    <n v="353064.4"/>
    <n v="18"/>
    <n v="6"/>
    <n v="4.6692607003891051E-2"/>
    <s v="Seriously late"/>
  </r>
  <r>
    <s v="PO073"/>
    <d v="2026-01-29T00:00:00"/>
    <d v="2026-02-05T00:00:00"/>
    <d v="2026-02-06T00:00:00"/>
    <x v="0"/>
    <x v="4"/>
    <s v="PPE-001"/>
    <n v="2250"/>
    <n v="2246"/>
    <n v="11"/>
    <n v="426.24"/>
    <s v="Routine"/>
    <x v="4"/>
    <s v="Industrial Safety Helmet"/>
    <x v="0"/>
    <n v="959040"/>
    <n v="8"/>
    <n v="1"/>
    <n v="4.8975957257346393E-3"/>
    <s v="Slightly delay"/>
  </r>
  <r>
    <s v="PO074"/>
    <d v="2026-05-09T00:00:00"/>
    <d v="2026-05-18T00:00:00"/>
    <d v="2026-05-20T00:00:00"/>
    <x v="1"/>
    <x v="0"/>
    <s v="CLN-002"/>
    <n v="180"/>
    <n v="179"/>
    <n v="8"/>
    <n v="1527.62"/>
    <s v="Routine"/>
    <x v="0"/>
    <s v="Chemical Absorbent Pads - Pack"/>
    <x v="4"/>
    <n v="274971.59999999998"/>
    <n v="11"/>
    <n v="2"/>
    <n v="4.4692737430167599E-2"/>
    <s v="Slightly delay"/>
  </r>
  <r>
    <s v="PO075"/>
    <d v="2026-03-22T00:00:00"/>
    <d v="2026-04-02T00:00:00"/>
    <d v="2026-04-01T00:00:00"/>
    <x v="2"/>
    <x v="1"/>
    <s v="BRG-001"/>
    <n v="540"/>
    <n v="535"/>
    <n v="11"/>
    <n v="1236.03"/>
    <s v="Routine"/>
    <x v="1"/>
    <s v="Deep-Groove Ball Bearing"/>
    <x v="1"/>
    <n v="667456.19999999995"/>
    <n v="10"/>
    <n v="0"/>
    <n v="2.0560747663551402E-2"/>
    <s v="On time"/>
  </r>
  <r>
    <s v="PO076"/>
    <d v="2026-01-15T00:00:00"/>
    <d v="2026-01-28T00:00:00"/>
    <d v="2026-02-02T00:00:00"/>
    <x v="3"/>
    <x v="6"/>
    <s v="ELE-001"/>
    <n v="220"/>
    <n v="214"/>
    <n v="10"/>
    <n v="545.35"/>
    <s v="Routine"/>
    <x v="6"/>
    <s v="Miniature Circuit Breaker 32A"/>
    <x v="2"/>
    <n v="119977"/>
    <n v="18"/>
    <n v="5"/>
    <n v="4.6728971962616821E-2"/>
    <s v="Seriously late"/>
  </r>
  <r>
    <s v="PO077"/>
    <d v="2026-05-03T00:00:00"/>
    <d v="2026-05-08T00:00:00"/>
    <d v="2026-05-16T00:00:00"/>
    <x v="0"/>
    <x v="7"/>
    <s v="CLN-002"/>
    <n v="150"/>
    <n v="148"/>
    <n v="3"/>
    <n v="1451.08"/>
    <s v="Routine"/>
    <x v="7"/>
    <s v="Chemical Absorbent Pads - Pack"/>
    <x v="4"/>
    <n v="217662"/>
    <n v="13"/>
    <n v="8"/>
    <n v="2.0270270270270271E-2"/>
    <s v="Seriously late"/>
  </r>
  <r>
    <s v="PO078"/>
    <d v="2026-04-19T00:00:00"/>
    <d v="2026-05-01T00:00:00"/>
    <d v="2026-05-06T00:00:00"/>
    <x v="1"/>
    <x v="5"/>
    <s v="ELE-002"/>
    <n v="580"/>
    <n v="563"/>
    <n v="37"/>
    <n v="3893.76"/>
    <s v="Routine"/>
    <x v="5"/>
    <s v="Copper Cable Roll - 100 m"/>
    <x v="2"/>
    <n v="2258380.8000000003"/>
    <n v="17"/>
    <n v="5"/>
    <n v="6.5719360568383664E-2"/>
    <s v="Seriously late"/>
  </r>
  <r>
    <s v="PO079"/>
    <d v="2026-02-07T00:00:00"/>
    <d v="2026-02-12T00:00:00"/>
    <d v="2026-02-12T00:00:00"/>
    <x v="2"/>
    <x v="4"/>
    <s v="PPE-002"/>
    <n v="2500"/>
    <n v="2460"/>
    <n v="30"/>
    <n v="787.75"/>
    <s v="Urgent"/>
    <x v="4"/>
    <s v="Nitrile Gloves - Box of 100"/>
    <x v="0"/>
    <n v="1969375"/>
    <n v="5"/>
    <n v="0"/>
    <n v="1.2195121951219513E-2"/>
    <s v="On time"/>
  </r>
  <r>
    <s v="PO080"/>
    <d v="2026-05-19T00:00:00"/>
    <d v="2026-05-28T00:00:00"/>
    <d v="2026-06-01T00:00:00"/>
    <x v="3"/>
    <x v="0"/>
    <s v="ELE-003"/>
    <n v="140"/>
    <n v="139"/>
    <n v="1"/>
    <n v="2151.4"/>
    <s v="Routine"/>
    <x v="0"/>
    <s v="Three-Phase Contactor"/>
    <x v="2"/>
    <n v="301196"/>
    <n v="13"/>
    <n v="4"/>
    <n v="7.1942446043165471E-3"/>
    <s v="Seriously late"/>
  </r>
  <r>
    <s v="PO081"/>
    <d v="2026-06-04T00:00:00"/>
    <d v="2026-06-12T00:00:00"/>
    <d v="2026-06-15T00:00:00"/>
    <x v="0"/>
    <x v="2"/>
    <s v="TOOL-002"/>
    <n v="140"/>
    <n v="140"/>
    <n v="2"/>
    <n v="4792.22"/>
    <s v="Routine"/>
    <x v="2"/>
    <s v="Industrial Torque Wrench"/>
    <x v="3"/>
    <n v="670910.80000000005"/>
    <n v="11"/>
    <n v="3"/>
    <n v="1.4285714285714285E-2"/>
    <s v="Slightly delay"/>
  </r>
  <r>
    <s v="PO082"/>
    <d v="2026-02-23T00:00:00"/>
    <d v="2026-03-05T00:00:00"/>
    <d v="2026-03-08T00:00:00"/>
    <x v="1"/>
    <x v="3"/>
    <s v="PPE-004"/>
    <n v="2500"/>
    <n v="2491"/>
    <n v="59"/>
    <n v="522.05999999999995"/>
    <s v="Routine"/>
    <x v="3"/>
    <s v="Reflective Safety Jacket"/>
    <x v="0"/>
    <n v="1305149.9999999998"/>
    <n v="13"/>
    <n v="3"/>
    <n v="2.3685266961059815E-2"/>
    <s v="Slightly delay"/>
  </r>
  <r>
    <s v="PO083"/>
    <d v="2026-04-19T00:00:00"/>
    <d v="2026-04-29T00:00:00"/>
    <d v="2026-05-01T00:00:00"/>
    <x v="2"/>
    <x v="3"/>
    <s v="PPE-001"/>
    <n v="2350"/>
    <n v="2347"/>
    <n v="72"/>
    <n v="432.12"/>
    <s v="Routine"/>
    <x v="3"/>
    <s v="Industrial Safety Helmet"/>
    <x v="0"/>
    <n v="1015482"/>
    <n v="12"/>
    <n v="2"/>
    <n v="3.0677460587984661E-2"/>
    <s v="Slightly delay"/>
  </r>
  <r>
    <s v="PO084"/>
    <d v="2026-02-14T00:00:00"/>
    <d v="2026-02-19T00:00:00"/>
    <d v="2026-02-27T00:00:00"/>
    <x v="3"/>
    <x v="7"/>
    <s v="PPE-003"/>
    <n v="2250"/>
    <n v="2178"/>
    <n v="67"/>
    <n v="272.25"/>
    <s v="Routine"/>
    <x v="7"/>
    <s v="Safety Goggles"/>
    <x v="0"/>
    <n v="612562.5"/>
    <n v="13"/>
    <n v="8"/>
    <n v="3.0762167125803489E-2"/>
    <s v="Seriously late"/>
  </r>
  <r>
    <s v="PO085"/>
    <d v="2026-01-11T00:00:00"/>
    <d v="2026-01-20T00:00:00"/>
    <d v="2026-01-26T00:00:00"/>
    <x v="0"/>
    <x v="0"/>
    <s v="CLN-002"/>
    <n v="280"/>
    <n v="277"/>
    <n v="0"/>
    <n v="1583.44"/>
    <s v="Routine"/>
    <x v="0"/>
    <s v="Chemical Absorbent Pads - Pack"/>
    <x v="4"/>
    <n v="443363.2"/>
    <n v="15"/>
    <n v="6"/>
    <n v="0"/>
    <s v="Seriously late"/>
  </r>
  <r>
    <s v="PO086"/>
    <d v="2026-06-26T00:00:00"/>
    <d v="2026-07-05T00:00:00"/>
    <d v="2026-07-08T00:00:00"/>
    <x v="1"/>
    <x v="0"/>
    <s v="TOOL-002"/>
    <n v="120"/>
    <n v="119"/>
    <n v="3"/>
    <n v="4705.3900000000003"/>
    <s v="Routine"/>
    <x v="0"/>
    <s v="Industrial Torque Wrench"/>
    <x v="3"/>
    <n v="564646.80000000005"/>
    <n v="12"/>
    <n v="3"/>
    <n v="2.5210084033613446E-2"/>
    <s v="Slightly delay"/>
  </r>
  <r>
    <s v="PO087"/>
    <d v="2026-05-14T00:00:00"/>
    <d v="2026-05-25T00:00:00"/>
    <d v="2026-05-28T00:00:00"/>
    <x v="2"/>
    <x v="1"/>
    <s v="BRG-003"/>
    <n v="540"/>
    <n v="540"/>
    <n v="2"/>
    <n v="1422.03"/>
    <s v="Routine"/>
    <x v="1"/>
    <s v="Heavy-Duty Industrial Belt"/>
    <x v="1"/>
    <n v="767896.2"/>
    <n v="14"/>
    <n v="3"/>
    <n v="3.7037037037037038E-3"/>
    <s v="Slightly delay"/>
  </r>
  <r>
    <s v="PO088"/>
    <d v="2026-02-17T00:00:00"/>
    <d v="2026-02-26T00:00:00"/>
    <d v="2026-03-04T00:00:00"/>
    <x v="3"/>
    <x v="0"/>
    <s v="PPE-004"/>
    <n v="950"/>
    <n v="942"/>
    <n v="24"/>
    <n v="531.41"/>
    <s v="Routine"/>
    <x v="0"/>
    <s v="Reflective Safety Jacket"/>
    <x v="0"/>
    <n v="504839.49999999994"/>
    <n v="15"/>
    <n v="6"/>
    <n v="2.5477707006369428E-2"/>
    <s v="Seriously late"/>
  </r>
  <r>
    <s v="PO089"/>
    <d v="2026-02-28T00:00:00"/>
    <d v="2026-03-08T00:00:00"/>
    <d v="2026-03-08T00:00:00"/>
    <x v="0"/>
    <x v="10"/>
    <s v="CLN-002"/>
    <n v="100"/>
    <n v="100"/>
    <n v="0"/>
    <n v="1641.93"/>
    <s v="Routine"/>
    <x v="10"/>
    <s v="Chemical Absorbent Pads - Pack"/>
    <x v="4"/>
    <n v="164193"/>
    <n v="8"/>
    <n v="0"/>
    <n v="0"/>
    <s v="On time"/>
  </r>
  <r>
    <s v="PO090"/>
    <d v="2026-06-24T00:00:00"/>
    <d v="2026-06-27T00:00:00"/>
    <d v="2026-06-30T00:00:00"/>
    <x v="1"/>
    <x v="7"/>
    <s v="PPE-003"/>
    <n v="1650"/>
    <n v="1608"/>
    <n v="158"/>
    <n v="304.52999999999997"/>
    <s v="Urgent"/>
    <x v="7"/>
    <s v="Safety Goggles"/>
    <x v="0"/>
    <n v="502474.49999999994"/>
    <n v="6"/>
    <n v="3"/>
    <n v="9.8258706467661688E-2"/>
    <s v="Slightly delay"/>
  </r>
  <r>
    <s v="PO091"/>
    <d v="2026-01-24T00:00:00"/>
    <d v="2026-02-04T00:00:00"/>
    <d v="2026-02-09T00:00:00"/>
    <x v="2"/>
    <x v="6"/>
    <s v="BRG-002"/>
    <n v="320"/>
    <n v="310"/>
    <n v="13"/>
    <n v="2739.42"/>
    <s v="Urgent"/>
    <x v="6"/>
    <s v="Industrial Roller Bearing"/>
    <x v="1"/>
    <n v="876614.4"/>
    <n v="16"/>
    <n v="5"/>
    <n v="4.1935483870967745E-2"/>
    <s v="Seriously late"/>
  </r>
  <r>
    <s v="PO092"/>
    <d v="2026-01-07T00:00:00"/>
    <d v="2026-01-19T00:00:00"/>
    <d v="2026-01-25T00:00:00"/>
    <x v="3"/>
    <x v="5"/>
    <s v="BRG-001"/>
    <n v="400"/>
    <n v="394"/>
    <n v="20"/>
    <n v="1136.6099999999999"/>
    <s v="Routine"/>
    <x v="5"/>
    <s v="Deep-Groove Ball Bearing"/>
    <x v="1"/>
    <n v="454643.99999999994"/>
    <n v="18"/>
    <n v="6"/>
    <n v="5.0761421319796954E-2"/>
    <s v="Seriously late"/>
  </r>
  <r>
    <s v="PO093"/>
    <d v="2026-06-21T00:00:00"/>
    <d v="2026-06-26T00:00:00"/>
    <d v="2026-06-26T00:00:00"/>
    <x v="0"/>
    <x v="4"/>
    <s v="PPE-003"/>
    <n v="1950"/>
    <n v="1933"/>
    <n v="2"/>
    <n v="329.68"/>
    <s v="Urgent"/>
    <x v="4"/>
    <s v="Safety Goggles"/>
    <x v="0"/>
    <n v="642876"/>
    <n v="5"/>
    <n v="0"/>
    <n v="1.0346611484738748E-3"/>
    <s v="On time"/>
  </r>
  <r>
    <s v="PO094"/>
    <d v="2026-03-12T00:00:00"/>
    <d v="2026-03-20T00:00:00"/>
    <d v="2026-03-22T00:00:00"/>
    <x v="1"/>
    <x v="2"/>
    <s v="ELE-002"/>
    <n v="680"/>
    <n v="678"/>
    <n v="10"/>
    <n v="4298.95"/>
    <s v="Routine"/>
    <x v="2"/>
    <s v="Copper Cable Roll - 100 m"/>
    <x v="2"/>
    <n v="2923286"/>
    <n v="10"/>
    <n v="2"/>
    <n v="1.4749262536873156E-2"/>
    <s v="Slightly delay"/>
  </r>
  <r>
    <s v="PO095"/>
    <d v="2026-06-07T00:00:00"/>
    <d v="2026-06-12T00:00:00"/>
    <d v="2026-06-17T00:00:00"/>
    <x v="2"/>
    <x v="7"/>
    <s v="CLN-004"/>
    <n v="310"/>
    <n v="304"/>
    <n v="25"/>
    <n v="4721.7"/>
    <s v="Routine"/>
    <x v="7"/>
    <s v="Multipurpose Lubricant - Drum"/>
    <x v="4"/>
    <n v="1463727"/>
    <n v="10"/>
    <n v="5"/>
    <n v="8.2236842105263164E-2"/>
    <s v="Seriously late"/>
  </r>
  <r>
    <s v="PO096"/>
    <d v="2026-01-30T00:00:00"/>
    <d v="2026-02-12T00:00:00"/>
    <d v="2026-02-18T00:00:00"/>
    <x v="3"/>
    <x v="6"/>
    <s v="ELE-003"/>
    <n v="360"/>
    <n v="345"/>
    <n v="11"/>
    <n v="2090.87"/>
    <s v="Routine"/>
    <x v="6"/>
    <s v="Three-Phase Contactor"/>
    <x v="2"/>
    <n v="752713.2"/>
    <n v="19"/>
    <n v="6"/>
    <n v="3.1884057971014491E-2"/>
    <s v="Seriously late"/>
  </r>
  <r>
    <s v="PO097"/>
    <d v="2026-05-06T00:00:00"/>
    <d v="2026-05-12T00:00:00"/>
    <d v="2026-05-14T00:00:00"/>
    <x v="0"/>
    <x v="11"/>
    <s v="TOOL-002"/>
    <n v="40"/>
    <n v="39"/>
    <n v="0"/>
    <n v="4942.09"/>
    <s v="Routine"/>
    <x v="11"/>
    <s v="Industrial Torque Wrench"/>
    <x v="3"/>
    <n v="197683.6"/>
    <n v="8"/>
    <n v="2"/>
    <n v="0"/>
    <s v="Slightly delay"/>
  </r>
  <r>
    <s v="PO098"/>
    <d v="2026-06-22T00:00:00"/>
    <d v="2026-06-27T00:00:00"/>
    <d v="2026-06-26T00:00:00"/>
    <x v="1"/>
    <x v="4"/>
    <s v="PPE-001"/>
    <n v="800"/>
    <n v="800"/>
    <n v="1"/>
    <n v="474.89"/>
    <s v="Urgent"/>
    <x v="4"/>
    <s v="Industrial Safety Helmet"/>
    <x v="0"/>
    <n v="379912"/>
    <n v="4"/>
    <n v="0"/>
    <n v="1.25E-3"/>
    <s v="On time"/>
  </r>
  <r>
    <s v="PO099"/>
    <d v="2026-04-28T00:00:00"/>
    <d v="2026-05-05T00:00:00"/>
    <d v="2026-05-06T00:00:00"/>
    <x v="2"/>
    <x v="4"/>
    <s v="PPE-001"/>
    <n v="1150"/>
    <n v="1141"/>
    <n v="12"/>
    <n v="441.98"/>
    <s v="Routine"/>
    <x v="4"/>
    <s v="Industrial Safety Helmet"/>
    <x v="0"/>
    <n v="508277"/>
    <n v="8"/>
    <n v="1"/>
    <n v="1.0517090271691499E-2"/>
    <s v="Slightly delay"/>
  </r>
  <r>
    <s v="PO100"/>
    <d v="2026-03-27T00:00:00"/>
    <d v="2026-04-07T00:00:00"/>
    <d v="2026-04-21T00:00:00"/>
    <x v="3"/>
    <x v="6"/>
    <s v="ELE-002"/>
    <n v="260"/>
    <n v="253"/>
    <n v="21"/>
    <n v="4042.57"/>
    <s v="Urgent"/>
    <x v="6"/>
    <s v="Copper Cable Roll - 100 m"/>
    <x v="2"/>
    <n v="1051068.2"/>
    <n v="25"/>
    <n v="14"/>
    <n v="8.3003952569169967E-2"/>
    <s v="Seriously late"/>
  </r>
  <r>
    <s v="PO101"/>
    <d v="2026-01-16T00:00:00"/>
    <d v="2026-01-23T00:00:00"/>
    <d v="2026-01-27T00:00:00"/>
    <x v="0"/>
    <x v="0"/>
    <s v="TOOL-002"/>
    <n v="130"/>
    <n v="128"/>
    <n v="3"/>
    <n v="4782.13"/>
    <s v="Urgent"/>
    <x v="0"/>
    <s v="Industrial Torque Wrench"/>
    <x v="3"/>
    <n v="621676.9"/>
    <n v="11"/>
    <n v="4"/>
    <n v="2.34375E-2"/>
    <s v="Seriously late"/>
  </r>
  <r>
    <s v="PO102"/>
    <d v="2026-04-12T00:00:00"/>
    <d v="2026-04-22T00:00:00"/>
    <d v="2026-04-24T00:00:00"/>
    <x v="1"/>
    <x v="3"/>
    <s v="PPE-003"/>
    <n v="2550"/>
    <n v="2539"/>
    <n v="75"/>
    <n v="300.44"/>
    <s v="Routine"/>
    <x v="3"/>
    <s v="Safety Goggles"/>
    <x v="0"/>
    <n v="766122"/>
    <n v="12"/>
    <n v="2"/>
    <n v="2.9539188656951557E-2"/>
    <s v="Slightly delay"/>
  </r>
  <r>
    <s v="PO103"/>
    <d v="2026-05-19T00:00:00"/>
    <d v="2026-05-27T00:00:00"/>
    <d v="2026-06-02T00:00:00"/>
    <x v="2"/>
    <x v="3"/>
    <s v="PPE-003"/>
    <n v="2000"/>
    <n v="1984"/>
    <n v="70"/>
    <n v="305.2"/>
    <s v="Urgent"/>
    <x v="3"/>
    <s v="Safety Goggles"/>
    <x v="0"/>
    <n v="610400"/>
    <n v="14"/>
    <n v="6"/>
    <n v="3.5282258064516132E-2"/>
    <s v="Seriously late"/>
  </r>
  <r>
    <s v="PO104"/>
    <d v="2026-02-06T00:00:00"/>
    <d v="2026-02-15T00:00:00"/>
    <d v="2026-02-20T00:00:00"/>
    <x v="3"/>
    <x v="0"/>
    <s v="ELE-004"/>
    <n v="460"/>
    <n v="453"/>
    <n v="11"/>
    <n v="1772.43"/>
    <s v="Routine"/>
    <x v="0"/>
    <s v="Industrial LED High-Bay Light"/>
    <x v="2"/>
    <n v="815317.8"/>
    <n v="14"/>
    <n v="5"/>
    <n v="2.4282560706401765E-2"/>
    <s v="Seriously late"/>
  </r>
  <r>
    <s v="PO105"/>
    <d v="2026-03-15T00:00:00"/>
    <d v="2026-03-24T00:00:00"/>
    <d v="2026-03-28T00:00:00"/>
    <x v="0"/>
    <x v="0"/>
    <s v="PPE-002"/>
    <n v="1950"/>
    <n v="1939"/>
    <n v="51"/>
    <n v="741.7"/>
    <s v="Routine"/>
    <x v="0"/>
    <s v="Nitrile Gloves - Box of 100"/>
    <x v="0"/>
    <n v="1446315"/>
    <n v="13"/>
    <n v="4"/>
    <n v="2.630221763795771E-2"/>
    <s v="Seriously late"/>
  </r>
  <r>
    <s v="PO106"/>
    <d v="2026-01-17T00:00:00"/>
    <d v="2026-01-22T00:00:00"/>
    <d v="2026-01-28T00:00:00"/>
    <x v="1"/>
    <x v="7"/>
    <s v="CLN-002"/>
    <n v="110"/>
    <n v="108"/>
    <n v="10"/>
    <n v="1467.98"/>
    <s v="Routine"/>
    <x v="7"/>
    <s v="Chemical Absorbent Pads - Pack"/>
    <x v="4"/>
    <n v="161477.79999999999"/>
    <n v="11"/>
    <n v="6"/>
    <n v="9.2592592592592587E-2"/>
    <s v="Seriously late"/>
  </r>
  <r>
    <s v="PO107"/>
    <d v="2026-05-22T00:00:00"/>
    <d v="2026-05-31T00:00:00"/>
    <d v="2026-05-30T00:00:00"/>
    <x v="2"/>
    <x v="8"/>
    <s v="ELE-004"/>
    <n v="200"/>
    <n v="198"/>
    <n v="4"/>
    <n v="1829.76"/>
    <s v="Routine"/>
    <x v="8"/>
    <s v="Industrial LED High-Bay Light"/>
    <x v="2"/>
    <n v="365952"/>
    <n v="8"/>
    <n v="0"/>
    <n v="2.0202020202020204E-2"/>
    <s v="On time"/>
  </r>
  <r>
    <s v="PO108"/>
    <d v="2026-06-08T00:00:00"/>
    <d v="2026-06-17T00:00:00"/>
    <d v="2026-06-21T00:00:00"/>
    <x v="3"/>
    <x v="0"/>
    <s v="PPE-004"/>
    <n v="2450"/>
    <n v="2404"/>
    <n v="130"/>
    <n v="535.45000000000005"/>
    <s v="Routine"/>
    <x v="0"/>
    <s v="Reflective Safety Jacket"/>
    <x v="0"/>
    <n v="1311852.5"/>
    <n v="13"/>
    <n v="4"/>
    <n v="5.4076539101497505E-2"/>
    <s v="Seriously late"/>
  </r>
  <r>
    <s v="PO109"/>
    <d v="2026-01-11T00:00:00"/>
    <d v="2026-01-18T00:00:00"/>
    <d v="2026-01-19T00:00:00"/>
    <x v="0"/>
    <x v="8"/>
    <s v="ELE-001"/>
    <n v="140"/>
    <n v="139"/>
    <n v="1"/>
    <n v="628.30999999999995"/>
    <s v="Urgent"/>
    <x v="8"/>
    <s v="Miniature Circuit Breaker 32A"/>
    <x v="2"/>
    <n v="87963.4"/>
    <n v="8"/>
    <n v="1"/>
    <n v="7.1942446043165471E-3"/>
    <s v="Slightly delay"/>
  </r>
  <r>
    <s v="PO110"/>
    <d v="2026-06-13T00:00:00"/>
    <d v="2026-06-18T00:00:00"/>
    <d v="2026-06-24T00:00:00"/>
    <x v="1"/>
    <x v="7"/>
    <s v="PPE-002"/>
    <n v="950"/>
    <n v="920"/>
    <n v="91"/>
    <n v="696.47"/>
    <s v="Routine"/>
    <x v="7"/>
    <s v="Nitrile Gloves - Box of 100"/>
    <x v="0"/>
    <n v="661646.5"/>
    <n v="11"/>
    <n v="6"/>
    <n v="9.8913043478260868E-2"/>
    <s v="Seriously late"/>
  </r>
  <r>
    <s v="PO111"/>
    <d v="2026-06-03T00:00:00"/>
    <d v="2026-06-09T00:00:00"/>
    <d v="2026-06-06T00:00:00"/>
    <x v="2"/>
    <x v="11"/>
    <s v="TOOL-002"/>
    <n v="130"/>
    <n v="130"/>
    <n v="3"/>
    <n v="4982.6099999999997"/>
    <s v="Routine"/>
    <x v="11"/>
    <s v="Industrial Torque Wrench"/>
    <x v="3"/>
    <n v="647739.29999999993"/>
    <n v="3"/>
    <n v="0"/>
    <n v="2.3076923076923078E-2"/>
    <s v="On time"/>
  </r>
  <r>
    <s v="PO112"/>
    <d v="2026-01-16T00:00:00"/>
    <d v="2026-01-28T00:00:00"/>
    <d v="2026-02-04T00:00:00"/>
    <x v="3"/>
    <x v="5"/>
    <s v="BRG-001"/>
    <n v="320"/>
    <n v="314"/>
    <n v="20"/>
    <n v="1190.96"/>
    <s v="Routine"/>
    <x v="5"/>
    <s v="Deep-Groove Ball Bearing"/>
    <x v="1"/>
    <n v="381107.20000000001"/>
    <n v="19"/>
    <n v="7"/>
    <n v="6.3694267515923567E-2"/>
    <s v="Seriously late"/>
  </r>
  <r>
    <s v="PO113"/>
    <d v="2026-01-23T00:00:00"/>
    <d v="2026-02-01T00:00:00"/>
    <d v="2026-02-03T00:00:00"/>
    <x v="0"/>
    <x v="0"/>
    <s v="CLN-001"/>
    <n v="130"/>
    <n v="129"/>
    <n v="4"/>
    <n v="2987.58"/>
    <s v="Routine"/>
    <x v="0"/>
    <s v="Industrial Degreaser - 20 L"/>
    <x v="4"/>
    <n v="388385.39999999997"/>
    <n v="11"/>
    <n v="2"/>
    <n v="3.1007751937984496E-2"/>
    <s v="Slightly delay"/>
  </r>
  <r>
    <s v="PO114"/>
    <d v="2026-06-07T00:00:00"/>
    <d v="2026-06-15T00:00:00"/>
    <d v="2026-06-12T00:00:00"/>
    <x v="1"/>
    <x v="2"/>
    <s v="ELE-001"/>
    <n v="320"/>
    <n v="317"/>
    <n v="7"/>
    <n v="600.63"/>
    <s v="Routine"/>
    <x v="2"/>
    <s v="Miniature Circuit Breaker 32A"/>
    <x v="2"/>
    <n v="192201.60000000001"/>
    <n v="5"/>
    <n v="0"/>
    <n v="2.2082018927444796E-2"/>
    <s v="On time"/>
  </r>
  <r>
    <s v="PO115"/>
    <d v="2026-03-23T00:00:00"/>
    <d v="2026-04-01T00:00:00"/>
    <d v="2026-03-31T00:00:00"/>
    <x v="2"/>
    <x v="9"/>
    <s v="PPE-003"/>
    <n v="2000"/>
    <n v="1994"/>
    <n v="31"/>
    <n v="298.35000000000002"/>
    <s v="Routine"/>
    <x v="9"/>
    <s v="Safety Goggles"/>
    <x v="0"/>
    <n v="596700"/>
    <n v="8"/>
    <n v="0"/>
    <n v="1.5546639919759278E-2"/>
    <s v="On time"/>
  </r>
  <r>
    <s v="PO116"/>
    <d v="2026-02-04T00:00:00"/>
    <d v="2026-02-09T00:00:00"/>
    <d v="2026-02-10T00:00:00"/>
    <x v="3"/>
    <x v="7"/>
    <s v="PPE-004"/>
    <n v="2450"/>
    <n v="2375"/>
    <n v="188"/>
    <n v="470.48"/>
    <s v="Routine"/>
    <x v="7"/>
    <s v="Reflective Safety Jacket"/>
    <x v="0"/>
    <n v="1152676"/>
    <n v="6"/>
    <n v="1"/>
    <n v="7.9157894736842108E-2"/>
    <s v="Slightly delay"/>
  </r>
  <r>
    <s v="PO117"/>
    <d v="2026-04-17T00:00:00"/>
    <d v="2026-04-24T00:00:00"/>
    <d v="2026-04-24T00:00:00"/>
    <x v="0"/>
    <x v="4"/>
    <s v="PPE-004"/>
    <n v="1650"/>
    <n v="1638"/>
    <n v="20"/>
    <n v="551.89"/>
    <s v="Routine"/>
    <x v="4"/>
    <s v="Reflective Safety Jacket"/>
    <x v="0"/>
    <n v="910618.5"/>
    <n v="7"/>
    <n v="0"/>
    <n v="1.221001221001221E-2"/>
    <s v="On time"/>
  </r>
  <r>
    <s v="PO118"/>
    <d v="2026-03-26T00:00:00"/>
    <d v="2026-03-30T00:00:00"/>
    <d v="2026-04-02T00:00:00"/>
    <x v="1"/>
    <x v="11"/>
    <s v="TOOL-001"/>
    <n v="60"/>
    <n v="60"/>
    <n v="0"/>
    <n v="4021.9"/>
    <s v="Urgent"/>
    <x v="11"/>
    <s v="Industrial Angle Grinder"/>
    <x v="3"/>
    <n v="241314"/>
    <n v="7"/>
    <n v="3"/>
    <n v="0"/>
    <s v="Slightly delay"/>
  </r>
  <r>
    <s v="PO119"/>
    <d v="2026-03-10T00:00:00"/>
    <d v="2026-03-19T00:00:00"/>
    <d v="2026-03-23T00:00:00"/>
    <x v="2"/>
    <x v="0"/>
    <s v="PPE-004"/>
    <n v="1100"/>
    <n v="1093"/>
    <n v="20"/>
    <n v="536.89"/>
    <s v="Routine"/>
    <x v="0"/>
    <s v="Reflective Safety Jacket"/>
    <x v="0"/>
    <n v="590579"/>
    <n v="13"/>
    <n v="4"/>
    <n v="1.8298261665141813E-2"/>
    <s v="Seriously late"/>
  </r>
  <r>
    <s v="PO120"/>
    <d v="2026-02-22T00:00:00"/>
    <d v="2026-03-06T00:00:00"/>
    <d v="2026-03-14T00:00:00"/>
    <x v="3"/>
    <x v="5"/>
    <s v="BRG-002"/>
    <n v="420"/>
    <n v="410"/>
    <n v="16"/>
    <n v="2785.58"/>
    <s v="Routine"/>
    <x v="5"/>
    <s v="Industrial Roller Bearing"/>
    <x v="1"/>
    <n v="1169943.5999999999"/>
    <n v="20"/>
    <n v="8"/>
    <n v="3.9024390243902439E-2"/>
    <s v="Seriously l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B04B9-A5A7-4299-A125-A1707A768C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0">
    <pivotField dataField="1" showAll="0"/>
    <pivotField numFmtId="164" showAll="0"/>
    <pivotField numFmtId="164" showAll="0"/>
    <pivotField numFmtId="164"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65"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dataField="1" numFmtId="165" showAll="0"/>
    <pivotField numFmtId="1" showAll="0"/>
    <pivotField numFmtId="1" showAll="0"/>
    <pivotField numFmtId="166"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Value (₹)" fld="15" showDataAs="percentOfTotal" baseField="0" baseItem="0" numFmtId="10"/>
    <dataField name="Count of PO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797A4-9B96-4648-8CFA-180D196B935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E33" firstHeaderRow="0" firstDataRow="1" firstDataCol="1" rowPageCount="1" colPageCount="1"/>
  <pivotFields count="20">
    <pivotField showAll="0"/>
    <pivotField numFmtId="164" showAll="0"/>
    <pivotField numFmtId="164" showAll="0"/>
    <pivotField numFmtId="164" showAll="0"/>
    <pivotField showAll="0"/>
    <pivotField axis="axisRow" showAll="0">
      <items count="13">
        <item x="3"/>
        <item x="2"/>
        <item x="4"/>
        <item x="5"/>
        <item x="8"/>
        <item x="11"/>
        <item x="1"/>
        <item x="7"/>
        <item x="9"/>
        <item x="10"/>
        <item x="6"/>
        <item x="0"/>
        <item t="default"/>
      </items>
    </pivotField>
    <pivotField showAll="0"/>
    <pivotField numFmtId="1" showAll="0"/>
    <pivotField numFmtId="1" showAll="0"/>
    <pivotField numFmtId="1" showAll="0"/>
    <pivotField dataField="1" numFmtId="165" showAll="0"/>
    <pivotField showAll="0"/>
    <pivotField axis="axisRow" showAll="0">
      <items count="13">
        <item x="3"/>
        <item x="10"/>
        <item x="5"/>
        <item x="6"/>
        <item x="7"/>
        <item x="1"/>
        <item x="11"/>
        <item x="0"/>
        <item x="4"/>
        <item x="9"/>
        <item x="8"/>
        <item x="2"/>
        <item t="default"/>
      </items>
    </pivotField>
    <pivotField showAll="0"/>
    <pivotField axis="axisPage" showAll="0">
      <items count="6">
        <item x="1"/>
        <item x="4"/>
        <item x="2"/>
        <item x="3"/>
        <item x="0"/>
        <item t="default"/>
      </items>
    </pivotField>
    <pivotField dataField="1" numFmtId="165" showAll="0"/>
    <pivotField numFmtId="1" showAll="0"/>
    <pivotField dataField="1" numFmtId="1" showAll="0"/>
    <pivotField dataField="1" numFmtId="166" showAll="0"/>
    <pivotField showAll="0"/>
  </pivotFields>
  <rowFields count="2">
    <field x="5"/>
    <field x="12"/>
  </rowFields>
  <rowItems count="11">
    <i>
      <x/>
    </i>
    <i r="1">
      <x/>
    </i>
    <i>
      <x v="2"/>
    </i>
    <i r="1">
      <x v="8"/>
    </i>
    <i>
      <x v="7"/>
    </i>
    <i r="1">
      <x v="4"/>
    </i>
    <i>
      <x v="8"/>
    </i>
    <i r="1">
      <x v="9"/>
    </i>
    <i>
      <x v="11"/>
    </i>
    <i r="1"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4" item="4" hier="-1"/>
  </pageFields>
  <dataFields count="4">
    <dataField name="Average of Unit Price (₹)" fld="10" subtotal="average" baseField="12" baseItem="9" numFmtId="165"/>
    <dataField name="Sum of Order Value (₹)" fld="15" baseField="0" baseItem="0" numFmtId="165"/>
    <dataField name="Average of Delay Days" fld="17" subtotal="average" baseField="12" baseItem="9" numFmtId="1"/>
    <dataField name="Average of Defect Rate" fld="18" subtotal="average" baseField="12" baseItem="9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DD231-C11E-478E-B5B2-ABE7909FBFC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8" firstHeaderRow="0" firstDataRow="1" firstDataCol="1"/>
  <pivotFields count="20">
    <pivotField dataField="1" showAll="0"/>
    <pivotField numFmtId="164" showAll="0"/>
    <pivotField numFmtId="164" showAll="0"/>
    <pivotField numFmtId="16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65" showAll="0"/>
    <pivotField showAll="0"/>
    <pivotField showAll="0"/>
    <pivotField showAll="0"/>
    <pivotField showAll="0"/>
    <pivotField numFmtId="165" showAll="0"/>
    <pivotField dataField="1" numFmtId="1" showAll="0"/>
    <pivotField dataField="1" numFmtId="1" showAll="0"/>
    <pivotField numFmtId="166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elivery Days" fld="16" subtotal="average" baseField="4" baseItem="0" numFmtId="1"/>
    <dataField name="Count of PO ID" fld="0" subtotal="count" baseField="0" baseItem="0"/>
    <dataField name="Average of Delay Days" fld="17" subtotal="average" baseField="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OrdersTable" displayName="PurchaseOrdersTable" ref="A4:T124">
  <tableColumns count="20">
    <tableColumn id="1" xr3:uid="{00000000-0010-0000-0000-000001000000}" name="PO ID"/>
    <tableColumn id="2" xr3:uid="{00000000-0010-0000-0000-000002000000}" name="Order Date"/>
    <tableColumn id="3" xr3:uid="{00000000-0010-0000-0000-000003000000}" name="Promised Date"/>
    <tableColumn id="4" xr3:uid="{00000000-0010-0000-0000-000004000000}" name="Delivery Date"/>
    <tableColumn id="5" xr3:uid="{00000000-0010-0000-0000-000005000000}" name="Region"/>
    <tableColumn id="6" xr3:uid="{00000000-0010-0000-0000-000006000000}" name="Supplier Code"/>
    <tableColumn id="7" xr3:uid="{00000000-0010-0000-0000-000007000000}" name="Product Code"/>
    <tableColumn id="8" xr3:uid="{00000000-0010-0000-0000-000008000000}" name="Qty Ordered"/>
    <tableColumn id="9" xr3:uid="{00000000-0010-0000-0000-000009000000}" name="Qty Received"/>
    <tableColumn id="10" xr3:uid="{00000000-0010-0000-0000-00000A000000}" name="Rejected Qty"/>
    <tableColumn id="11" xr3:uid="{00000000-0010-0000-0000-00000B000000}" name="Unit Price (₹)"/>
    <tableColumn id="12" xr3:uid="{00000000-0010-0000-0000-00000C000000}" name="Purchase Type"/>
    <tableColumn id="13" xr3:uid="{00000000-0010-0000-0000-00000D000000}" name="Supplier Name" dataDxfId="16">
      <calculatedColumnFormula>VLOOKUP(PurchaseOrdersTable[[#This Row],[Supplier Code]],SupplierMasterTable[[Supplier Code]:[Supplier Name]],2,)</calculatedColumnFormula>
    </tableColumn>
    <tableColumn id="14" xr3:uid="{00000000-0010-0000-0000-00000E000000}" name="Product Name" dataDxfId="15">
      <calculatedColumnFormula>VLOOKUP(PurchaseOrdersTable[[#This Row],[Product Code]],ProductMasterTable[[Product Code]:[Product Name]],2,)</calculatedColumnFormula>
    </tableColumn>
    <tableColumn id="15" xr3:uid="{00000000-0010-0000-0000-00000F000000}" name="Category" dataDxfId="14">
      <calculatedColumnFormula>VLOOKUP(PurchaseOrdersTable[[#This Row],[Product Code]],ProductMasterTable[[#All],[Product Code]:[Category]],3,)</calculatedColumnFormula>
    </tableColumn>
    <tableColumn id="16" xr3:uid="{00000000-0010-0000-0000-000010000000}" name="Order Value (₹)" dataDxfId="13">
      <calculatedColumnFormula>PurchaseOrdersTable[[#This Row],[Qty Ordered]]*PurchaseOrdersTable[[#This Row],[Unit Price (₹)]]</calculatedColumnFormula>
    </tableColumn>
    <tableColumn id="17" xr3:uid="{00000000-0010-0000-0000-000011000000}" name="Delivery Days" dataDxfId="12">
      <calculatedColumnFormula>PurchaseOrdersTable[[#This Row],[Delivery Date]]-PurchaseOrdersTable[[#This Row],[Order Date]]</calculatedColumnFormula>
    </tableColumn>
    <tableColumn id="18" xr3:uid="{00000000-0010-0000-0000-000012000000}" name="Delay Days" dataDxfId="11">
      <calculatedColumnFormula>MAX(0, PurchaseOrdersTable[[#This Row],[Delivery Date]]-PurchaseOrdersTable[[#This Row],[Promised Date]])</calculatedColumnFormula>
    </tableColumn>
    <tableColumn id="19" xr3:uid="{00000000-0010-0000-0000-000013000000}" name="Defect Rate" dataDxfId="10">
      <calculatedColumnFormula>PurchaseOrdersTable[[#This Row],[Rejected Qty]]/PurchaseOrdersTable[[#This Row],[Qty Received]]</calculatedColumnFormula>
    </tableColumn>
    <tableColumn id="20" xr3:uid="{00000000-0010-0000-0000-000014000000}" name="Delivery Status" dataDxfId="9">
      <calculatedColumnFormula>IF(PurchaseOrdersTable[[#This Row],[Delay Days]]&lt;=0,"On time", IF(PurchaseOrdersTable[[#This Row],[Delay Days]]&lt;=3,"Slightly delay", IF(PurchaseOrdersTable[[#This Row],[Delay Days]]&gt;3,"Seriously late")))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pplierMasterTable" displayName="SupplierMasterTable" ref="A4:H16">
  <tableColumns count="8">
    <tableColumn id="1" xr3:uid="{00000000-0010-0000-0100-000001000000}" name="Supplier Code"/>
    <tableColumn id="2" xr3:uid="{00000000-0010-0000-0100-000002000000}" name="Supplier Name"/>
    <tableColumn id="3" xr3:uid="{00000000-0010-0000-0100-000003000000}" name="City"/>
    <tableColumn id="4" xr3:uid="{00000000-0010-0000-0100-000004000000}" name="Standard Lead Time"/>
    <tableColumn id="5" xr3:uid="{00000000-0010-0000-0100-000005000000}" name="Approval Status"/>
    <tableColumn id="6" xr3:uid="{00000000-0010-0000-0100-000006000000}" name="Certification"/>
    <tableColumn id="7" xr3:uid="{00000000-0010-0000-0100-000007000000}" name="Existing Rating"/>
    <tableColumn id="8" xr3:uid="{00000000-0010-0000-0100-000008000000}" name="Primary Categor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pplierPerformanceWorkspace" displayName="SupplierPerformanceWorkspace" ref="J4:Q16">
  <tableColumns count="8">
    <tableColumn id="1" xr3:uid="{00000000-0010-0000-0200-000001000000}" name="Supplier Code"/>
    <tableColumn id="2" xr3:uid="{00000000-0010-0000-0200-000002000000}" name="Supplier Name"/>
    <tableColumn id="3" xr3:uid="{00000000-0010-0000-0200-000003000000}" name="Total Order Value" dataDxfId="8">
      <calculatedColumnFormula>SUMIF(PurchaseOrdersTable[[#All],[Supplier Code]],SupplierPerformanceWorkspace[[#This Row],[Supplier Code]],PurchaseOrdersTable[[#All],[Order Value (₹)]])</calculatedColumnFormula>
    </tableColumn>
    <tableColumn id="4" xr3:uid="{00000000-0010-0000-0200-000004000000}" name="Average Unit Price" dataDxfId="7">
      <calculatedColumnFormula>AVERAGEIF(PurchaseOrdersTable[[#All],[Supplier Code]],SupplierPerformanceWorkspace[[#This Row],[Supplier Code]],PurchaseOrdersTable[[#All],[Unit Price (₹)]])</calculatedColumnFormula>
    </tableColumn>
    <tableColumn id="5" xr3:uid="{00000000-0010-0000-0200-000005000000}" name="Average Delay Days" dataDxfId="6">
      <calculatedColumnFormula>AVERAGEIF(PurchaseOrdersTable[[#All],[Supplier Code]],SupplierPerformanceWorkspace[[#This Row],[Supplier Code]],PurchaseOrdersTable[[#All],[Delay Days]])</calculatedColumnFormula>
    </tableColumn>
    <tableColumn id="6" xr3:uid="{00000000-0010-0000-0200-000006000000}" name="On-Time %" dataDxfId="5">
      <calculatedColumnFormula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calculatedColumnFormula>
    </tableColumn>
    <tableColumn id="7" xr3:uid="{00000000-0010-0000-0200-000007000000}" name="Average Defect Rate" dataDxfId="4">
      <calculatedColumnFormula>AVERAGEIF(PurchaseOrdersTable[[#All],[Supplier Code]],SupplierPerformanceWorkspace[[#This Row],[Supplier Code]],PurchaseOrdersTable[[#All],[Defect Rate]])</calculatedColumnFormula>
    </tableColumn>
    <tableColumn id="8" xr3:uid="{00000000-0010-0000-0200-000008000000}" name="Performance Class" dataDxfId="3">
      <calculatedColumnFormula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MasterTable" displayName="ProductMasterTable" ref="A4:F22">
  <tableColumns count="6">
    <tableColumn id="1" xr3:uid="{00000000-0010-0000-0300-000001000000}" name="Product Code"/>
    <tableColumn id="2" xr3:uid="{00000000-0010-0000-0300-000002000000}" name="Product Name"/>
    <tableColumn id="3" xr3:uid="{00000000-0010-0000-0300-000003000000}" name="Category"/>
    <tableColumn id="4" xr3:uid="{00000000-0010-0000-0300-000004000000}" name="Unit"/>
    <tableColumn id="5" xr3:uid="{00000000-0010-0000-0300-000005000000}" name="Criticality"/>
    <tableColumn id="6" xr3:uid="{00000000-0010-0000-0300-000006000000}" name="Reference Price (₹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egoryAnalysisWorkspace" displayName="CategoryAnalysisWorkspace" ref="H4:K9">
  <tableColumns count="4">
    <tableColumn id="1" xr3:uid="{00000000-0010-0000-0400-000001000000}" name="Category"/>
    <tableColumn id="2" xr3:uid="{00000000-0010-0000-0400-000002000000}" name="Total Spend" dataDxfId="2">
      <calculatedColumnFormula>SUMIF(PurchaseOrdersTable[[#All],[Category]],CategoryAnalysisWorkspace[[#This Row],[Category]],PurchaseOrdersTable[[#All],[Order Value (₹)]])</calculatedColumnFormula>
    </tableColumn>
    <tableColumn id="3" xr3:uid="{00000000-0010-0000-0400-000003000000}" name="Number of Orders" dataDxfId="1">
      <calculatedColumnFormula>COUNTIF(PurchaseOrdersTable[[#All],[Category]],CategoryAnalysisWorkspace[[#This Row],[Category]])</calculatedColumnFormula>
    </tableColumn>
    <tableColumn id="4" xr3:uid="{00000000-0010-0000-0400-000004000000}" name="Average Unit Price" dataDxfId="0">
      <calculatedColumnFormula>AVERAGEIF(PurchaseOrdersTable[[#All],[Category]],CategoryAnalysisWorkspace[[#This Row],[Category]],PurchaseOrdersTable[[#All],[Unit Price (₹)]])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upplierQuotesTable" displayName="SupplierQuotesTable" ref="A14:Q18">
  <tableColumns count="17">
    <tableColumn id="1" xr3:uid="{00000000-0010-0000-0500-000001000000}" name="Quote ID"/>
    <tableColumn id="2" xr3:uid="{00000000-0010-0000-0500-000002000000}" name="Supplier Code"/>
    <tableColumn id="3" xr3:uid="{00000000-0010-0000-0500-000003000000}" name="Quoted Unit Price"/>
    <tableColumn id="4" xr3:uid="{00000000-0010-0000-0500-000004000000}" name="Discount"/>
    <tableColumn id="5" xr3:uid="{00000000-0010-0000-0500-000005000000}" name="Offered Lead Time"/>
    <tableColumn id="6" xr3:uid="{00000000-0010-0000-0500-000006000000}" name="Minimum Order"/>
    <tableColumn id="7" xr3:uid="{00000000-0010-0000-0500-000007000000}" name="Warranty"/>
    <tableColumn id="8" xr3:uid="{00000000-0010-0000-0500-000008000000}" name="Supplier Name" dataDxfId="26">
      <calculatedColumnFormula>VLOOKUP(SupplierQuotesTable[[#This Row],[Supplier Code]],SupplierMasterTable[[#All],[Supplier Code]:[Supplier Name]],2,)</calculatedColumnFormula>
    </tableColumn>
    <tableColumn id="9" xr3:uid="{00000000-0010-0000-0500-000009000000}" name="Approval Status" dataDxfId="25">
      <calculatedColumnFormula>VLOOKUP(SupplierQuotesTable[[#This Row],[Supplier Code]],SupplierMasterTable[[#All],[Supplier Code]:[Approval Status]],5,)</calculatedColumnFormula>
    </tableColumn>
    <tableColumn id="10" xr3:uid="{00000000-0010-0000-0500-00000A000000}" name="Historical Classification" dataDxfId="24">
      <calculatedColumnFormula>VLOOKUP(SupplierQuotesTable[[#This Row],[Supplier Code]],SupplierPerformanceWorkspace[#All],8,)</calculatedColumnFormula>
    </tableColumn>
    <tableColumn id="11" xr3:uid="{00000000-0010-0000-0500-00000B000000}" name="Net Unit Price" dataDxfId="23">
      <calculatedColumnFormula>SupplierQuotesTable[[#This Row],[Quoted Unit Price]]*(1-SupplierQuotesTable[[#This Row],[Discount]])</calculatedColumnFormula>
    </tableColumn>
    <tableColumn id="12" xr3:uid="{00000000-0010-0000-0500-00000C000000}" name="Goods Cost" dataDxfId="22">
      <calculatedColumnFormula>3500*SupplierQuotesTable[[#This Row],[Net Unit Price]]</calculatedColumnFormula>
    </tableColumn>
    <tableColumn id="13" xr3:uid="{00000000-0010-0000-0500-00000D000000}" name="Freight Cost" dataDxfId="21">
      <calculatedColumnFormula>MAX(SupplierQuotesTable[[#This Row],[Goods Cost]]*'04_Rates_and_Rules'!$C$5,'04_Rates_and_Rules'!$C$8)</calculatedColumnFormula>
    </tableColumn>
    <tableColumn id="14" xr3:uid="{00000000-0010-0000-0500-00000E000000}" name="Handling Charge" dataDxfId="20">
      <calculatedColumnFormula>'04_Rates_and_Rules'!$C$7</calculatedColumnFormula>
    </tableColumn>
    <tableColumn id="15" xr3:uid="{00000000-0010-0000-0500-00000F000000}" name="Total Landed Cost" dataDxfId="19">
      <calculatedColumnFormula>SupplierQuotesTable[[#This Row],[Goods Cost]]+SupplierQuotesTable[[#This Row],[Freight Cost]]+SupplierQuotesTable[[#This Row],[Handling Charge]]</calculatedColumnFormula>
    </tableColumn>
    <tableColumn id="16" xr3:uid="{00000000-0010-0000-0500-000010000000}" name="Budget Difference" dataDxfId="18">
      <calculatedColumnFormula>$B$10-SupplierQuotesTable[[#This Row],[Total Landed Cost]]</calculatedColumnFormula>
    </tableColumn>
    <tableColumn id="17" xr3:uid="{00000000-0010-0000-0500-000011000000}" name="Meets Delivery Requirement?" dataDxfId="17">
      <calculatedColumnFormula>IF(SupplierQuotesTable[[#This Row],[Offered Lead Time]]&lt;=10, "Yes",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817F-D25E-49E9-B45A-4B6EE51BAABF}">
  <dimension ref="A3:F33"/>
  <sheetViews>
    <sheetView topLeftCell="A19" workbookViewId="0">
      <selection activeCell="B27" sqref="B27"/>
    </sheetView>
  </sheetViews>
  <sheetFormatPr defaultRowHeight="14"/>
  <cols>
    <col min="1" max="1" width="28.1640625" bestFit="1" customWidth="1"/>
    <col min="2" max="2" width="21.6640625" bestFit="1" customWidth="1"/>
    <col min="3" max="3" width="20.25" bestFit="1" customWidth="1"/>
    <col min="4" max="4" width="20.08203125" bestFit="1" customWidth="1"/>
    <col min="5" max="5" width="20.58203125" bestFit="1" customWidth="1"/>
  </cols>
  <sheetData>
    <row r="3" spans="1:4">
      <c r="A3" s="17" t="s">
        <v>358</v>
      </c>
      <c r="B3" t="s">
        <v>361</v>
      </c>
      <c r="C3" t="s">
        <v>362</v>
      </c>
    </row>
    <row r="4" spans="1:4">
      <c r="A4" s="18" t="s">
        <v>222</v>
      </c>
      <c r="B4" s="20">
        <v>0.20058786594774147</v>
      </c>
      <c r="C4">
        <v>24</v>
      </c>
    </row>
    <row r="5" spans="1:4">
      <c r="A5" s="18" t="s">
        <v>230</v>
      </c>
      <c r="B5" s="20">
        <v>9.3232098785035022E-2</v>
      </c>
      <c r="C5">
        <v>18</v>
      </c>
    </row>
    <row r="6" spans="1:4">
      <c r="A6" s="18" t="s">
        <v>216</v>
      </c>
      <c r="B6" s="20">
        <v>0.26911707554713771</v>
      </c>
      <c r="C6">
        <v>24</v>
      </c>
    </row>
    <row r="7" spans="1:4">
      <c r="A7" s="18" t="s">
        <v>219</v>
      </c>
      <c r="B7" s="20">
        <v>9.7685099786197827E-2</v>
      </c>
      <c r="C7">
        <v>18</v>
      </c>
    </row>
    <row r="8" spans="1:4">
      <c r="A8" s="18" t="s">
        <v>208</v>
      </c>
      <c r="B8" s="20">
        <v>0.33937785993388786</v>
      </c>
      <c r="C8">
        <v>36</v>
      </c>
    </row>
    <row r="9" spans="1:4">
      <c r="A9" s="18" t="s">
        <v>359</v>
      </c>
      <c r="B9" s="20">
        <v>1</v>
      </c>
      <c r="C9">
        <v>120</v>
      </c>
    </row>
    <row r="10" spans="1:4">
      <c r="A10" s="51" t="s">
        <v>363</v>
      </c>
      <c r="B10" s="51"/>
      <c r="C10" s="51"/>
      <c r="D10" s="51"/>
    </row>
    <row r="13" spans="1:4">
      <c r="A13" s="17" t="s">
        <v>358</v>
      </c>
      <c r="B13" t="s">
        <v>360</v>
      </c>
      <c r="C13" t="s">
        <v>362</v>
      </c>
      <c r="D13" t="s">
        <v>364</v>
      </c>
    </row>
    <row r="14" spans="1:4">
      <c r="A14" s="18" t="s">
        <v>38</v>
      </c>
      <c r="B14" s="3">
        <v>14.433333333333334</v>
      </c>
      <c r="C14">
        <v>30</v>
      </c>
      <c r="D14" s="3">
        <v>4.833333333333333</v>
      </c>
    </row>
    <row r="15" spans="1:4">
      <c r="A15" s="18" t="s">
        <v>25</v>
      </c>
      <c r="B15" s="3">
        <v>10.633333333333333</v>
      </c>
      <c r="C15">
        <v>30</v>
      </c>
      <c r="D15" s="3">
        <v>2.7666666666666666</v>
      </c>
    </row>
    <row r="16" spans="1:4">
      <c r="A16" s="18" t="s">
        <v>34</v>
      </c>
      <c r="B16" s="3">
        <v>10.9</v>
      </c>
      <c r="C16">
        <v>30</v>
      </c>
      <c r="D16" s="3">
        <v>2.6</v>
      </c>
    </row>
    <row r="17" spans="1:6">
      <c r="A17" s="18" t="s">
        <v>30</v>
      </c>
      <c r="B17" s="3">
        <v>11.066666666666666</v>
      </c>
      <c r="C17">
        <v>30</v>
      </c>
      <c r="D17" s="3">
        <v>3.1333333333333333</v>
      </c>
    </row>
    <row r="18" spans="1:6">
      <c r="A18" s="18" t="s">
        <v>359</v>
      </c>
      <c r="B18" s="3">
        <v>11.758333333333333</v>
      </c>
      <c r="C18">
        <v>120</v>
      </c>
      <c r="D18" s="3">
        <v>3.3333333333333335</v>
      </c>
    </row>
    <row r="19" spans="1:6">
      <c r="A19" s="52" t="s">
        <v>365</v>
      </c>
      <c r="B19" s="52"/>
      <c r="C19" s="52"/>
      <c r="D19" s="52"/>
      <c r="E19" s="52"/>
      <c r="F19" s="52"/>
    </row>
    <row r="20" spans="1:6">
      <c r="A20" s="17" t="s">
        <v>18</v>
      </c>
      <c r="B20" t="s">
        <v>208</v>
      </c>
    </row>
    <row r="22" spans="1:6">
      <c r="A22" s="17" t="s">
        <v>358</v>
      </c>
      <c r="B22" t="s">
        <v>366</v>
      </c>
      <c r="C22" t="s">
        <v>361</v>
      </c>
      <c r="D22" t="s">
        <v>364</v>
      </c>
      <c r="E22" t="s">
        <v>367</v>
      </c>
    </row>
    <row r="23" spans="1:6">
      <c r="A23" s="18" t="s">
        <v>39</v>
      </c>
      <c r="B23" s="4">
        <v>436.36749999999995</v>
      </c>
      <c r="C23" s="4">
        <v>7006928</v>
      </c>
      <c r="D23" s="3">
        <v>2.75</v>
      </c>
      <c r="E23" s="5">
        <v>2.7503167981381693E-2</v>
      </c>
    </row>
    <row r="24" spans="1:6">
      <c r="A24" s="19" t="s">
        <v>197</v>
      </c>
      <c r="B24" s="4">
        <v>436.36749999999995</v>
      </c>
      <c r="C24" s="4">
        <v>7006928</v>
      </c>
      <c r="D24" s="3">
        <v>2.75</v>
      </c>
      <c r="E24" s="5">
        <v>2.7503167981381693E-2</v>
      </c>
    </row>
    <row r="25" spans="1:6">
      <c r="A25" s="18" t="s">
        <v>42</v>
      </c>
      <c r="B25" s="4">
        <v>544.09428571428566</v>
      </c>
      <c r="C25" s="4">
        <v>6086705.5</v>
      </c>
      <c r="D25" s="3">
        <v>0.5714285714285714</v>
      </c>
      <c r="E25" s="5">
        <v>6.4911163772092958E-3</v>
      </c>
    </row>
    <row r="26" spans="1:6">
      <c r="A26" s="19" t="s">
        <v>205</v>
      </c>
      <c r="B26" s="4">
        <v>544.09428571428566</v>
      </c>
      <c r="C26" s="4">
        <v>6086705.5</v>
      </c>
      <c r="D26" s="3">
        <v>0.5714285714285714</v>
      </c>
      <c r="E26" s="5">
        <v>6.4911163772092958E-3</v>
      </c>
    </row>
    <row r="27" spans="1:6">
      <c r="A27" s="18" t="s">
        <v>57</v>
      </c>
      <c r="B27" s="4">
        <v>431.60555555555555</v>
      </c>
      <c r="C27" s="4">
        <v>6974370.5</v>
      </c>
      <c r="D27" s="3">
        <v>4.333333333333333</v>
      </c>
      <c r="E27" s="5">
        <v>6.4793092262061286E-2</v>
      </c>
    </row>
    <row r="28" spans="1:6">
      <c r="A28" s="19" t="s">
        <v>223</v>
      </c>
      <c r="B28" s="4">
        <v>431.60555555555555</v>
      </c>
      <c r="C28" s="4">
        <v>6974370.5</v>
      </c>
      <c r="D28" s="3">
        <v>4.333333333333333</v>
      </c>
      <c r="E28" s="5">
        <v>6.4793092262061286E-2</v>
      </c>
    </row>
    <row r="29" spans="1:6">
      <c r="A29" s="18" t="s">
        <v>72</v>
      </c>
      <c r="B29" s="4">
        <v>399.49749999999995</v>
      </c>
      <c r="C29" s="4">
        <v>2623357.5</v>
      </c>
      <c r="D29" s="3">
        <v>1.5</v>
      </c>
      <c r="E29" s="5">
        <v>1.1041652204958436E-2</v>
      </c>
    </row>
    <row r="30" spans="1:6">
      <c r="A30" s="19" t="s">
        <v>227</v>
      </c>
      <c r="B30" s="4">
        <v>399.49749999999995</v>
      </c>
      <c r="C30" s="4">
        <v>2623357.5</v>
      </c>
      <c r="D30" s="3">
        <v>1.5</v>
      </c>
      <c r="E30" s="5">
        <v>1.1041652204958436E-2</v>
      </c>
    </row>
    <row r="31" spans="1:6">
      <c r="A31" s="18" t="s">
        <v>26</v>
      </c>
      <c r="B31" s="4">
        <v>527.26499999999999</v>
      </c>
      <c r="C31" s="4">
        <v>7077778.5</v>
      </c>
      <c r="D31" s="3">
        <v>3.375</v>
      </c>
      <c r="E31" s="5">
        <v>3.4527319587252976E-2</v>
      </c>
    </row>
    <row r="32" spans="1:6">
      <c r="A32" s="19" t="s">
        <v>234</v>
      </c>
      <c r="B32" s="4">
        <v>527.26499999999999</v>
      </c>
      <c r="C32" s="4">
        <v>7077778.5</v>
      </c>
      <c r="D32" s="3">
        <v>3.375</v>
      </c>
      <c r="E32" s="5">
        <v>3.4527319587252976E-2</v>
      </c>
    </row>
    <row r="33" spans="1:5">
      <c r="A33" s="18" t="s">
        <v>359</v>
      </c>
      <c r="B33" s="4">
        <v>472.22666666666674</v>
      </c>
      <c r="C33" s="4">
        <v>29769140</v>
      </c>
      <c r="D33" s="3">
        <v>2.7222222222222223</v>
      </c>
      <c r="E33" s="5">
        <v>3.2471837621331323E-2</v>
      </c>
    </row>
  </sheetData>
  <mergeCells count="2">
    <mergeCell ref="A10:D10"/>
    <mergeCell ref="A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B72A-CF61-40F5-A444-4A09CBAE9A46}">
  <dimension ref="A1:G111"/>
  <sheetViews>
    <sheetView topLeftCell="A118" workbookViewId="0">
      <selection activeCell="C103" sqref="C103"/>
    </sheetView>
  </sheetViews>
  <sheetFormatPr defaultColWidth="7.9140625" defaultRowHeight="14"/>
  <cols>
    <col min="1" max="1" width="5.5" customWidth="1"/>
    <col min="2" max="2" width="71.5" customWidth="1"/>
    <col min="3" max="3" width="15.4140625" customWidth="1"/>
    <col min="4" max="4" width="14.6640625" customWidth="1"/>
    <col min="5" max="5" width="23.83203125" customWidth="1"/>
    <col min="6" max="6" width="18.33203125" customWidth="1"/>
    <col min="7" max="7" width="14.6640625" customWidth="1"/>
  </cols>
  <sheetData>
    <row r="1" spans="1:3" ht="28.5" customHeight="1">
      <c r="A1" s="55" t="s">
        <v>368</v>
      </c>
      <c r="B1" s="55"/>
    </row>
    <row r="2" spans="1:3">
      <c r="A2" s="56" t="s">
        <v>451</v>
      </c>
      <c r="B2" s="56"/>
    </row>
    <row r="3" spans="1:3" ht="6" customHeight="1"/>
    <row r="4" spans="1:3" ht="15" customHeight="1">
      <c r="A4" s="57" t="s">
        <v>369</v>
      </c>
      <c r="B4" s="57"/>
    </row>
    <row r="5" spans="1:3">
      <c r="A5" s="57"/>
      <c r="B5" s="57"/>
    </row>
    <row r="6" spans="1:3" ht="28.5" customHeight="1">
      <c r="A6" s="57"/>
      <c r="B6" s="57"/>
    </row>
    <row r="7" spans="1:3" ht="9.75" customHeight="1"/>
    <row r="8" spans="1:3" ht="21.75" customHeight="1">
      <c r="A8" s="53" t="s">
        <v>370</v>
      </c>
      <c r="B8" s="53"/>
    </row>
    <row r="9" spans="1:3" ht="30" customHeight="1">
      <c r="A9" s="22" t="s">
        <v>371</v>
      </c>
      <c r="B9" s="23" t="s">
        <v>372</v>
      </c>
    </row>
    <row r="10" spans="1:3" ht="144.75" customHeight="1">
      <c r="B10" s="24" t="s">
        <v>373</v>
      </c>
    </row>
    <row r="11" spans="1:3" ht="25.5" customHeight="1">
      <c r="B11" s="25" t="s">
        <v>374</v>
      </c>
      <c r="C11" s="25" t="s">
        <v>375</v>
      </c>
    </row>
    <row r="12" spans="1:3">
      <c r="B12" s="26" t="s">
        <v>376</v>
      </c>
      <c r="C12" s="27">
        <v>120</v>
      </c>
    </row>
    <row r="13" spans="1:3">
      <c r="B13" s="28" t="s">
        <v>377</v>
      </c>
      <c r="C13" s="29">
        <f>SUM(PurchaseOrdersTable[[#All],[Order Value (₹)]])</f>
        <v>87716800.400000006</v>
      </c>
    </row>
    <row r="14" spans="1:3">
      <c r="B14" s="26" t="s">
        <v>378</v>
      </c>
      <c r="C14" s="30">
        <f>AVERAGE(PurchaseOrdersTable[[#All],[Order Value (₹)]])</f>
        <v>730973.33666666667</v>
      </c>
    </row>
    <row r="15" spans="1:3">
      <c r="B15" s="28" t="s">
        <v>379</v>
      </c>
      <c r="C15" s="31">
        <f>AVERAGE(PurchaseOrdersTable[[#All],[Delivery Days]])</f>
        <v>11.758333333333333</v>
      </c>
    </row>
    <row r="16" spans="1:3" ht="45" customHeight="1">
      <c r="B16" s="32" t="s">
        <v>380</v>
      </c>
    </row>
    <row r="17" spans="1:5" ht="7.5" customHeight="1"/>
    <row r="18" spans="1:5" ht="30" customHeight="1">
      <c r="A18" s="22" t="s">
        <v>381</v>
      </c>
      <c r="B18" s="23" t="s">
        <v>382</v>
      </c>
    </row>
    <row r="19" spans="1:5" ht="25.5" customHeight="1">
      <c r="B19" s="25" t="s">
        <v>18</v>
      </c>
      <c r="C19" s="25" t="s">
        <v>383</v>
      </c>
      <c r="D19" s="25" t="s">
        <v>384</v>
      </c>
      <c r="E19" s="25" t="s">
        <v>385</v>
      </c>
    </row>
    <row r="20" spans="1:5">
      <c r="B20" s="26" t="str">
        <f>INDEX([1]!CategoryAnalysisWorkspace[Category],1)</f>
        <v>Safety and PPE</v>
      </c>
      <c r="C20" s="30">
        <f>SUMIF(PurchaseOrdersTable[[#All],[Category]],'06_Assignment_Answers'!B20,PurchaseOrdersTable[[#All],[Order Value (₹)]])</f>
        <v>29769140</v>
      </c>
      <c r="D20" s="33">
        <f>COUNTIF(PurchaseOrdersTable[[#All],[Category]],'06_Assignment_Answers'!B20)</f>
        <v>36</v>
      </c>
      <c r="E20" s="34">
        <f>AVERAGEIF(PurchaseOrdersTable[[#All],[Category]],'06_Assignment_Answers'!B20,PurchaseOrdersTable[[#All],[Unit Price (₹)]])</f>
        <v>472.22666666666669</v>
      </c>
    </row>
    <row r="21" spans="1:5">
      <c r="B21" s="28" t="str">
        <f>INDEX([1]!CategoryAnalysisWorkspace[Category],2)</f>
        <v>Electricals</v>
      </c>
      <c r="C21" s="30">
        <f>SUMIF(PurchaseOrdersTable[[#All],[Category]],'06_Assignment_Answers'!B21,PurchaseOrdersTable[[#All],[Order Value (₹)]])</f>
        <v>23606088.800000001</v>
      </c>
      <c r="D21" s="33">
        <f>COUNTIF(PurchaseOrdersTable[[#All],[Category]],'06_Assignment_Answers'!B21)</f>
        <v>24</v>
      </c>
      <c r="E21" s="34">
        <f>AVERAGEIF(PurchaseOrdersTable[[#All],[Category]],'06_Assignment_Answers'!B21,PurchaseOrdersTable[[#All],[Unit Price (₹)]])</f>
        <v>2222.4504166666666</v>
      </c>
    </row>
    <row r="22" spans="1:5">
      <c r="B22" s="26" t="str">
        <f>INDEX([1]!CategoryAnalysisWorkspace[Category],3)</f>
        <v>Hand Tools</v>
      </c>
      <c r="C22" s="30">
        <f>SUMIF(PurchaseOrdersTable[[#All],[Category]],'06_Assignment_Answers'!B22,PurchaseOrdersTable[[#All],[Order Value (₹)]])</f>
        <v>8568624.3999999985</v>
      </c>
      <c r="D22" s="33">
        <f>COUNTIF(PurchaseOrdersTable[[#All],[Category]],'06_Assignment_Answers'!B22)</f>
        <v>18</v>
      </c>
      <c r="E22" s="34">
        <f>AVERAGEIF(PurchaseOrdersTable[[#All],[Category]],'06_Assignment_Answers'!B22,PurchaseOrdersTable[[#All],[Unit Price (₹)]])</f>
        <v>4883.2977777777778</v>
      </c>
    </row>
    <row r="23" spans="1:5">
      <c r="B23" s="28" t="str">
        <f>INDEX([1]!CategoryAnalysisWorkspace[Category],4)</f>
        <v>Bearings and Mechanical</v>
      </c>
      <c r="C23" s="30">
        <f>SUMIF(PurchaseOrdersTable[[#All],[Category]],'06_Assignment_Answers'!B23,PurchaseOrdersTable[[#All],[Order Value (₹)]])</f>
        <v>17594925.799999997</v>
      </c>
      <c r="D23" s="33">
        <f>COUNTIF(PurchaseOrdersTable[[#All],[Category]],'06_Assignment_Answers'!B23)</f>
        <v>24</v>
      </c>
      <c r="E23" s="34">
        <f>AVERAGEIF(PurchaseOrdersTable[[#All],[Category]],'06_Assignment_Answers'!B23,PurchaseOrdersTable[[#All],[Unit Price (₹)]])</f>
        <v>1858.1862499999997</v>
      </c>
    </row>
    <row r="24" spans="1:5">
      <c r="B24" s="26" t="str">
        <f>INDEX([1]!CategoryAnalysisWorkspace[Category],5)</f>
        <v>Cleaning and Consumables</v>
      </c>
      <c r="C24" s="30">
        <f>SUMIF(PurchaseOrdersTable[[#All],[Category]],'06_Assignment_Answers'!B24,PurchaseOrdersTable[[#All],[Order Value (₹)]])</f>
        <v>8178021.4000000004</v>
      </c>
      <c r="D24" s="33">
        <f>COUNTIF(PurchaseOrdersTable[[#All],[Category]],'06_Assignment_Answers'!B24)</f>
        <v>18</v>
      </c>
      <c r="E24" s="34">
        <f>AVERAGEIF(PurchaseOrdersTable[[#All],[Category]],'06_Assignment_Answers'!B24,PurchaseOrdersTable[[#All],[Unit Price (₹)]])</f>
        <v>2343.6672222222219</v>
      </c>
    </row>
    <row r="26" spans="1:5" ht="30" customHeight="1">
      <c r="B26" s="44" t="str">
        <f>CONCATENATE("Answer: ", INDEX([1]!CategoryAnalysisWorkspace[Category],MATCH(MAX([1]!CategoryAnalysisWorkspace[Total Spend]),[1]!CategoryAnalysisWorkspace[Total Spend],0))," is the largest spend category at ₹", TEXT(MAX([1]!CategoryAnalysisWorkspace[Total Spend]),"#,##0")," (", TEXT(MAX([1]!CategoryAnalysisWorkspace[Total Spend])/SUM([1]!CategoryAnalysisWorkspace[Total Spend]),"0.0%"),") of total procurement spend, driven by high order volume even though it has the lowest average unit price of any category.")</f>
        <v>Answer: Safety and PPE is the largest spend category at ₹2,97,69,140 (33.9%) of total procurement spend, driven by high order volume even though it has the lowest average unit price of any category.</v>
      </c>
    </row>
    <row r="27" spans="1:5" ht="188" customHeight="1"/>
    <row r="28" spans="1:5" ht="30" customHeight="1">
      <c r="A28" s="22" t="s">
        <v>386</v>
      </c>
      <c r="B28" s="23" t="s">
        <v>387</v>
      </c>
    </row>
    <row r="29" spans="1:5" ht="25.5" customHeight="1">
      <c r="B29" s="25" t="s">
        <v>8</v>
      </c>
      <c r="C29" s="25" t="s">
        <v>388</v>
      </c>
      <c r="D29" s="25" t="s">
        <v>389</v>
      </c>
      <c r="E29" s="25" t="s">
        <v>390</v>
      </c>
    </row>
    <row r="30" spans="1:5">
      <c r="B30" s="26" t="s">
        <v>25</v>
      </c>
      <c r="C30" s="37">
        <f>AVERAGEIF(PurchaseOrdersTable[[#All],[Region]],'06_Assignment_Answers'!B30,PurchaseOrdersTable[[#All],[Delivery Days]])</f>
        <v>10.633333333333333</v>
      </c>
      <c r="D30" s="37">
        <f>AVERAGEIF(PurchaseOrdersTable[[#All],[Region]],'06_Assignment_Answers'!B30,PurchaseOrdersTable[[#All],[Delay Days]])</f>
        <v>2.7666666666666666</v>
      </c>
      <c r="E30" s="33">
        <f>COUNTIFS(PurchaseOrdersTable[[#All],[Region]],'06_Assignment_Answers'!B30,PurchaseOrdersTable[[#All],[Delivery Status]],"Seriously late")</f>
        <v>9</v>
      </c>
    </row>
    <row r="31" spans="1:5">
      <c r="B31" s="28" t="s">
        <v>30</v>
      </c>
      <c r="C31" s="37">
        <f>AVERAGEIF(PurchaseOrdersTable[[#All],[Region]],'06_Assignment_Answers'!B31,PurchaseOrdersTable[[#All],[Delivery Days]])</f>
        <v>11.066666666666666</v>
      </c>
      <c r="D31" s="37">
        <f>AVERAGEIF(PurchaseOrdersTable[[#All],[Region]],'06_Assignment_Answers'!B31,PurchaseOrdersTable[[#All],[Delay Days]])</f>
        <v>3.1333333333333333</v>
      </c>
      <c r="E31" s="33">
        <f>COUNTIFS(PurchaseOrdersTable[[#All],[Region]],'06_Assignment_Answers'!B31,PurchaseOrdersTable[[#All],[Delivery Status]],"Seriously late")</f>
        <v>10</v>
      </c>
    </row>
    <row r="32" spans="1:5">
      <c r="B32" s="26" t="s">
        <v>34</v>
      </c>
      <c r="C32" s="37">
        <f>AVERAGEIF(PurchaseOrdersTable[[#All],[Region]],'06_Assignment_Answers'!B32,PurchaseOrdersTable[[#All],[Delivery Days]])</f>
        <v>10.9</v>
      </c>
      <c r="D32" s="37">
        <f>AVERAGEIF(PurchaseOrdersTable[[#All],[Region]],'06_Assignment_Answers'!B32,PurchaseOrdersTable[[#All],[Delay Days]])</f>
        <v>2.6</v>
      </c>
      <c r="E32" s="33">
        <f>COUNTIFS(PurchaseOrdersTable[[#All],[Region]],'06_Assignment_Answers'!B32,PurchaseOrdersTable[[#All],[Delivery Status]],"Seriously late")</f>
        <v>10</v>
      </c>
    </row>
    <row r="33" spans="1:5">
      <c r="B33" s="28" t="s">
        <v>38</v>
      </c>
      <c r="C33" s="37">
        <f>AVERAGEIF(PurchaseOrdersTable[[#All],[Region]],'06_Assignment_Answers'!B33,PurchaseOrdersTable[[#All],[Delivery Days]])</f>
        <v>14.433333333333334</v>
      </c>
      <c r="D33" s="37">
        <f>AVERAGEIF(PurchaseOrdersTable[[#All],[Region]],'06_Assignment_Answers'!B33,PurchaseOrdersTable[[#All],[Delay Days]])</f>
        <v>4.833333333333333</v>
      </c>
      <c r="E33" s="33">
        <f>COUNTIFS(PurchaseOrdersTable[[#All],[Region]],'06_Assignment_Answers'!B33,PurchaseOrdersTable[[#All],[Delivery Status]],"Seriously late")</f>
        <v>21</v>
      </c>
    </row>
    <row r="35" spans="1:5" ht="30" customHeight="1">
      <c r="B35" s="32" t="str">
        <f>CONCATENATE("Answer: ", INDEX(B30:B33,MATCH(MAX(D30:D33),D30:D33,0)), " shows the weakest delivery performance, with the highest average delivery time and the highest average delay of all four regions, and the largest share of Seriously Late orders.")</f>
        <v>Answer: East shows the weakest delivery performance, with the highest average delivery time and the highest average delay of all four regions, and the largest share of Seriously Late orders.</v>
      </c>
    </row>
    <row r="36" spans="1:5" ht="13.5" customHeight="1"/>
    <row r="37" spans="1:5" ht="21.75" customHeight="1">
      <c r="A37" s="53" t="s">
        <v>391</v>
      </c>
      <c r="B37" s="53"/>
    </row>
    <row r="38" spans="1:5" ht="30" customHeight="1">
      <c r="A38" s="22" t="s">
        <v>392</v>
      </c>
      <c r="B38" s="23" t="s">
        <v>393</v>
      </c>
    </row>
    <row r="39" spans="1:5" ht="25.5" customHeight="1">
      <c r="B39" s="25" t="s">
        <v>394</v>
      </c>
      <c r="C39" s="25" t="s">
        <v>19</v>
      </c>
      <c r="D39" s="25" t="s">
        <v>384</v>
      </c>
    </row>
    <row r="40" spans="1:5">
      <c r="B40" s="26" t="str">
        <f>VLOOKUP("S001",[1]!SupplierMasterTable[#All],2,)</f>
        <v>Bharat Industrial Supplies</v>
      </c>
      <c r="C40" s="30">
        <f>SUMIFS(PurchaseOrdersTable[[#All],[Order Value (₹)]],PurchaseOrdersTable[[#All],[Supplier Code]],"S001",PurchaseOrdersTable[[#All],[Category]],"Safety and PPE")</f>
        <v>7006928</v>
      </c>
      <c r="D40" s="33">
        <f>COUNTIFS(PurchaseOrdersTable[[#All],[Supplier Code]],"S001",PurchaseOrdersTable[[#All],[Category]],"Safety and PPE")</f>
        <v>8</v>
      </c>
    </row>
    <row r="41" spans="1:5">
      <c r="B41" s="28" t="str">
        <f>VLOOKUP("S003",[1]!SupplierMasterTable[#All],2,)</f>
        <v>SafePro India</v>
      </c>
      <c r="C41" s="30">
        <f>SUMIFS(PurchaseOrdersTable[[#All],[Order Value (₹)]],PurchaseOrdersTable[[#All],[Supplier Code]],"S003",PurchaseOrdersTable[[#All],[Category]],"Safety and PPE")</f>
        <v>6086705.5</v>
      </c>
      <c r="D41" s="33">
        <f>COUNTIFS(PurchaseOrdersTable[[#All],[Supplier Code]],"S003",PurchaseOrdersTable[[#All],[Category]],"Safety and PPE")</f>
        <v>7</v>
      </c>
    </row>
    <row r="42" spans="1:5">
      <c r="B42" s="26" t="str">
        <f>VLOOKUP("S008",[1]!SupplierMasterTable[#All],2,)</f>
        <v>Metro Industrial Mart</v>
      </c>
      <c r="C42" s="30">
        <f>SUMIFS(PurchaseOrdersTable[[#All],[Order Value (₹)]],PurchaseOrdersTable[[#All],[Supplier Code]],"S008",PurchaseOrdersTable[[#All],[Category]],"Safety and PPE")</f>
        <v>6974370.5</v>
      </c>
      <c r="D42" s="33">
        <f>COUNTIFS(PurchaseOrdersTable[[#All],[Supplier Code]],"S008",PurchaseOrdersTable[[#All],[Category]],"Safety and PPE")</f>
        <v>9</v>
      </c>
    </row>
    <row r="43" spans="1:5">
      <c r="B43" s="28" t="str">
        <f>VLOOKUP("S009",[1]!SupplierMasterTable[#All],2,)</f>
        <v>SecureTech Safety Solutions</v>
      </c>
      <c r="C43" s="30">
        <f>SUMIFS(PurchaseOrdersTable[[#All],[Order Value (₹)]],PurchaseOrdersTable[[#All],[Supplier Code]],"S009",PurchaseOrdersTable[[#All],[Category]],"Safety and PPE")</f>
        <v>2623357.5</v>
      </c>
      <c r="D43" s="33">
        <f>COUNTIFS(PurchaseOrdersTable[[#All],[Supplier Code]],"S009",PurchaseOrdersTable[[#All],[Category]],"Safety and PPE")</f>
        <v>4</v>
      </c>
    </row>
    <row r="44" spans="1:5">
      <c r="B44" s="26" t="str">
        <f>VLOOKUP("S012",[1]!SupplierMasterTable[#All],2,)</f>
        <v>ProServe MRO Solutions</v>
      </c>
      <c r="C44" s="30">
        <f>SUMIFS(PurchaseOrdersTable[[#All],[Order Value (₹)]],PurchaseOrdersTable[[#All],[Supplier Code]],"S012",PurchaseOrdersTable[[#All],[Category]],"Safety and PPE")</f>
        <v>7077778.5</v>
      </c>
      <c r="D44" s="33">
        <f>COUNTIFS(PurchaseOrdersTable[[#All],[Supplier Code]],"S012",PurchaseOrdersTable[[#All],[Category]],"Safety and PPE")</f>
        <v>8</v>
      </c>
    </row>
    <row r="46" spans="1:5" ht="61.5" customHeight="1">
      <c r="B46" s="32" t="s">
        <v>395</v>
      </c>
    </row>
    <row r="47" spans="1:5" ht="7.5" customHeight="1"/>
    <row r="48" spans="1:5" ht="30" customHeight="1">
      <c r="A48" s="22" t="s">
        <v>396</v>
      </c>
      <c r="B48" s="23" t="s">
        <v>397</v>
      </c>
    </row>
    <row r="49" spans="1:6" ht="25.5" customHeight="1">
      <c r="B49" s="25" t="s">
        <v>398</v>
      </c>
      <c r="C49" s="25" t="s">
        <v>399</v>
      </c>
      <c r="D49" s="25" t="s">
        <v>194</v>
      </c>
      <c r="E49" s="25" t="s">
        <v>400</v>
      </c>
      <c r="F49" s="25" t="s">
        <v>401</v>
      </c>
    </row>
    <row r="50" spans="1:6">
      <c r="B50" s="26" t="str">
        <f>VLOOKUP("S001",[1]!SupplierMasterTable[#All],2,)</f>
        <v>Bharat Industrial Supplies</v>
      </c>
      <c r="C50" s="34">
        <f>AVERAGEIFS(PurchaseOrdersTable[[#All],[Unit Price (₹)]],PurchaseOrdersTable[[#All],[Supplier Code]],"S001",PurchaseOrdersTable[[#All],[Category]],"Safety and PPE")</f>
        <v>436.36749999999995</v>
      </c>
      <c r="D50" s="38">
        <f>COUNTIFS(PurchaseOrdersTable[[#All],[Supplier Code]],"S001",PurchaseOrdersTable[[#All],[Category]],"Safety and PPE",PurchaseOrdersTable[[#All],[Delivery Status]],"On time")/COUNTIFS(PurchaseOrdersTable[[#All],[Supplier Code]],"S001",PurchaseOrdersTable[[#All],[Category]],"Safety and PPE")</f>
        <v>0.125</v>
      </c>
      <c r="E50" s="39">
        <f>AVERAGEIFS(PurchaseOrdersTable[[#All],[Delay Days]],PurchaseOrdersTable[[#All],[Supplier Code]],"S001",PurchaseOrdersTable[[#All],[Category]],"Safety and PPE")</f>
        <v>2.75</v>
      </c>
      <c r="F50" s="40">
        <f>AVERAGEIFS(PurchaseOrdersTable[[#All],[Defect Rate]],PurchaseOrdersTable[[#All],[Supplier Code]],"S001",PurchaseOrdersTable[[#All],[Category]],"Safety and PPE")</f>
        <v>2.7503167981381693E-2</v>
      </c>
    </row>
    <row r="51" spans="1:6">
      <c r="B51" s="28" t="str">
        <f>VLOOKUP("S003",[1]!SupplierMasterTable[#All],2,)</f>
        <v>SafePro India</v>
      </c>
      <c r="C51" s="34">
        <f>AVERAGEIFS(PurchaseOrdersTable[[#All],[Unit Price (₹)]],PurchaseOrdersTable[[#All],[Supplier Code]],"S003",PurchaseOrdersTable[[#All],[Category]],"Safety and PPE")</f>
        <v>544.09428571428566</v>
      </c>
      <c r="D51" s="38">
        <f>COUNTIFS(PurchaseOrdersTable[[#All],[Supplier Code]],"S003",PurchaseOrdersTable[[#All],[Category]],"Safety and PPE",PurchaseOrdersTable[[#All],[Delivery Status]],"On time")/COUNTIFS(PurchaseOrdersTable[[#All],[Supplier Code]],"S003",PurchaseOrdersTable[[#All],[Category]],"Safety and PPE")</f>
        <v>0.5714285714285714</v>
      </c>
      <c r="E51" s="39">
        <f>AVERAGEIFS(PurchaseOrdersTable[[#All],[Delay Days]],PurchaseOrdersTable[[#All],[Supplier Code]],"S003",PurchaseOrdersTable[[#All],[Category]],"Safety and PPE")</f>
        <v>0.5714285714285714</v>
      </c>
      <c r="F51" s="40">
        <f>AVERAGEIFS(PurchaseOrdersTable[[#All],[Defect Rate]],PurchaseOrdersTable[[#All],[Supplier Code]],"S003",PurchaseOrdersTable[[#All],[Category]],"Safety and PPE")</f>
        <v>6.4911163772092958E-3</v>
      </c>
    </row>
    <row r="52" spans="1:6">
      <c r="B52" s="26" t="str">
        <f>VLOOKUP("S008",[1]!SupplierMasterTable[#All],2,)</f>
        <v>Metro Industrial Mart</v>
      </c>
      <c r="C52" s="34">
        <f>AVERAGEIFS(PurchaseOrdersTable[[#All],[Unit Price (₹)]],PurchaseOrdersTable[[#All],[Supplier Code]],"S008",PurchaseOrdersTable[[#All],[Category]],"Safety and PPE")</f>
        <v>431.60555555555561</v>
      </c>
      <c r="D52" s="38">
        <f>COUNTIFS(PurchaseOrdersTable[[#All],[Supplier Code]],"S008",PurchaseOrdersTable[[#All],[Category]],"Safety and PPE",PurchaseOrdersTable[[#All],[Delivery Status]],"On time")/COUNTIFS(PurchaseOrdersTable[[#All],[Supplier Code]],"S008",PurchaseOrdersTable[[#All],[Category]],"Safety and PPE")</f>
        <v>0</v>
      </c>
      <c r="E52" s="39">
        <f>AVERAGEIFS(PurchaseOrdersTable[[#All],[Delay Days]],PurchaseOrdersTable[[#All],[Supplier Code]],"S008",PurchaseOrdersTable[[#All],[Category]],"Safety and PPE")</f>
        <v>4.333333333333333</v>
      </c>
      <c r="F52" s="40">
        <f>AVERAGEIFS(PurchaseOrdersTable[[#All],[Defect Rate]],PurchaseOrdersTable[[#All],[Supplier Code]],"S008",PurchaseOrdersTable[[#All],[Category]],"Safety and PPE")</f>
        <v>6.4793092262061286E-2</v>
      </c>
    </row>
    <row r="53" spans="1:6">
      <c r="B53" s="28" t="str">
        <f>VLOOKUP("S009",[1]!SupplierMasterTable[#All],2,)</f>
        <v>SecureTech Safety Solutions</v>
      </c>
      <c r="C53" s="34">
        <f>AVERAGEIFS(PurchaseOrdersTable[[#All],[Unit Price (₹)]],PurchaseOrdersTable[[#All],[Supplier Code]],"S009",PurchaseOrdersTable[[#All],[Category]],"Safety and PPE")</f>
        <v>399.49749999999995</v>
      </c>
      <c r="D53" s="38">
        <f>COUNTIFS(PurchaseOrdersTable[[#All],[Supplier Code]],"S009",PurchaseOrdersTable[[#All],[Category]],"Safety and PPE",PurchaseOrdersTable[[#All],[Delivery Status]],"On time")/COUNTIFS(PurchaseOrdersTable[[#All],[Supplier Code]],"S009",PurchaseOrdersTable[[#All],[Category]],"Safety and PPE")</f>
        <v>0.25</v>
      </c>
      <c r="E53" s="39">
        <f>AVERAGEIFS(PurchaseOrdersTable[[#All],[Delay Days]],PurchaseOrdersTable[[#All],[Supplier Code]],"S009",PurchaseOrdersTable[[#All],[Category]],"Safety and PPE")</f>
        <v>1.5</v>
      </c>
      <c r="F53" s="40">
        <f>AVERAGEIFS(PurchaseOrdersTable[[#All],[Defect Rate]],PurchaseOrdersTable[[#All],[Supplier Code]],"S009",PurchaseOrdersTable[[#All],[Category]],"Safety and PPE")</f>
        <v>1.1041652204958436E-2</v>
      </c>
    </row>
    <row r="54" spans="1:6">
      <c r="B54" s="26" t="str">
        <f>VLOOKUP("S012",[1]!SupplierMasterTable[#All],2,)</f>
        <v>ProServe MRO Solutions</v>
      </c>
      <c r="C54" s="34">
        <f>AVERAGEIFS(PurchaseOrdersTable[[#All],[Unit Price (₹)]],PurchaseOrdersTable[[#All],[Supplier Code]],"S012",PurchaseOrdersTable[[#All],[Category]],"Safety and PPE")</f>
        <v>527.26499999999999</v>
      </c>
      <c r="D54" s="38">
        <f>COUNTIFS(PurchaseOrdersTable[[#All],[Supplier Code]],"S012",PurchaseOrdersTable[[#All],[Category]],"Safety and PPE",PurchaseOrdersTable[[#All],[Delivery Status]],"On time")/COUNTIFS(PurchaseOrdersTable[[#All],[Supplier Code]],"S012",PurchaseOrdersTable[[#All],[Category]],"Safety and PPE")</f>
        <v>0.125</v>
      </c>
      <c r="E54" s="39">
        <f>AVERAGEIFS(PurchaseOrdersTable[[#All],[Delay Days]],PurchaseOrdersTable[[#All],[Supplier Code]],"S012",PurchaseOrdersTable[[#All],[Category]],"Safety and PPE")</f>
        <v>3.375</v>
      </c>
      <c r="F54" s="40">
        <f>AVERAGEIFS(PurchaseOrdersTable[[#All],[Defect Rate]],PurchaseOrdersTable[[#All],[Supplier Code]],"S012",PurchaseOrdersTable[[#All],[Category]],"Safety and PPE")</f>
        <v>3.4527319587252976E-2</v>
      </c>
    </row>
    <row r="56" spans="1:6" ht="99.75" customHeight="1">
      <c r="B56" s="32" t="s">
        <v>402</v>
      </c>
    </row>
    <row r="57" spans="1:6" ht="7.5" customHeight="1"/>
    <row r="58" spans="1:6" ht="30" customHeight="1">
      <c r="A58" s="22" t="s">
        <v>403</v>
      </c>
      <c r="B58" s="23" t="s">
        <v>404</v>
      </c>
    </row>
    <row r="59" spans="1:6" ht="27.75" customHeight="1">
      <c r="B59" s="24" t="s">
        <v>405</v>
      </c>
    </row>
    <row r="60" spans="1:6" ht="25.5" customHeight="1">
      <c r="B60" s="25" t="s">
        <v>406</v>
      </c>
      <c r="C60" s="25" t="s">
        <v>285</v>
      </c>
      <c r="D60" s="25" t="s">
        <v>401</v>
      </c>
      <c r="E60" s="25" t="s">
        <v>407</v>
      </c>
    </row>
    <row r="61" spans="1:6">
      <c r="B61" s="26" t="s">
        <v>288</v>
      </c>
      <c r="C61" s="33" t="s">
        <v>408</v>
      </c>
      <c r="D61" s="33" t="s">
        <v>409</v>
      </c>
      <c r="E61" s="33" t="s">
        <v>410</v>
      </c>
    </row>
    <row r="62" spans="1:6">
      <c r="B62" s="28" t="s">
        <v>293</v>
      </c>
      <c r="C62" s="35" t="s">
        <v>411</v>
      </c>
      <c r="D62" s="35" t="s">
        <v>412</v>
      </c>
      <c r="E62" s="35" t="s">
        <v>413</v>
      </c>
    </row>
    <row r="63" spans="1:6">
      <c r="B63" s="26" t="s">
        <v>298</v>
      </c>
      <c r="C63" s="33" t="s">
        <v>414</v>
      </c>
      <c r="D63" s="33" t="s">
        <v>415</v>
      </c>
      <c r="E63" s="33" t="s">
        <v>416</v>
      </c>
    </row>
    <row r="65" spans="2:6" ht="25.5" customHeight="1">
      <c r="B65" s="25" t="s">
        <v>398</v>
      </c>
      <c r="C65" s="25" t="s">
        <v>194</v>
      </c>
      <c r="D65" s="25" t="s">
        <v>417</v>
      </c>
      <c r="E65" s="25" t="s">
        <v>407</v>
      </c>
      <c r="F65" s="25" t="s">
        <v>284</v>
      </c>
    </row>
    <row r="66" spans="2:6">
      <c r="B66" s="26" t="str">
        <f>INDEX([1]!SupplierPerformanceWorkspace[Supplier Name],1)</f>
        <v>Bharat Industrial Supplies</v>
      </c>
      <c r="C66" s="38">
        <f>INDEX('02_Supplier_Master'!O5,1)</f>
        <v>8.3333333333333329E-2</v>
      </c>
      <c r="D66" s="40">
        <f>INDEX('02_Supplier_Master'!P5,1)</f>
        <v>2.8282953177705572E-2</v>
      </c>
      <c r="E66" s="39">
        <f>INDEX('02_Supplier_Master'!N5,1)</f>
        <v>3.3333333333333335</v>
      </c>
      <c r="F66" s="33" t="str">
        <f>INDEX('02_Supplier_Master'!Q5,1)</f>
        <v>Needs Review</v>
      </c>
    </row>
    <row r="67" spans="2:6">
      <c r="B67" s="28" t="str">
        <f>INDEX([1]!SupplierPerformanceWorkspace[Supplier Name],2)</f>
        <v>Western MRO Hub</v>
      </c>
      <c r="C67" s="38">
        <f>INDEX('02_Supplier_Master'!O6,1)</f>
        <v>0.5</v>
      </c>
      <c r="D67" s="40">
        <f>INDEX('02_Supplier_Master'!P6,1)</f>
        <v>1.3274109978420438E-2</v>
      </c>
      <c r="E67" s="39">
        <f>INDEX('02_Supplier_Master'!N6,1)</f>
        <v>1</v>
      </c>
      <c r="F67" s="33" t="str">
        <f>INDEX('02_Supplier_Master'!Q6,1)</f>
        <v>Needs Review</v>
      </c>
    </row>
    <row r="68" spans="2:6">
      <c r="B68" s="26" t="str">
        <f>INDEX([1]!SupplierPerformanceWorkspace[Supplier Name],3)</f>
        <v>SafePro India</v>
      </c>
      <c r="C68" s="38">
        <f>INDEX('02_Supplier_Master'!O7,1)</f>
        <v>0.5714285714285714</v>
      </c>
      <c r="D68" s="40">
        <f>INDEX('02_Supplier_Master'!P7,1)</f>
        <v>6.4911163772092958E-3</v>
      </c>
      <c r="E68" s="39">
        <f>INDEX('02_Supplier_Master'!N7,1)</f>
        <v>0.5714285714285714</v>
      </c>
      <c r="F68" s="33" t="str">
        <f>INDEX('02_Supplier_Master'!Q7,1)</f>
        <v>Needs Review</v>
      </c>
    </row>
    <row r="69" spans="2:6">
      <c r="B69" s="28" t="str">
        <f>INDEX([1]!SupplierPerformanceWorkspace[Supplier Name],4)</f>
        <v>Eastern Engineering Traders</v>
      </c>
      <c r="C69" s="38">
        <f>INDEX('02_Supplier_Master'!O8,1)</f>
        <v>0</v>
      </c>
      <c r="D69" s="40">
        <f>INDEX('02_Supplier_Master'!P8,1)</f>
        <v>5.169694422684179E-2</v>
      </c>
      <c r="E69" s="39">
        <f>INDEX('02_Supplier_Master'!N8,1)</f>
        <v>5.9090909090909092</v>
      </c>
      <c r="F69" s="33" t="str">
        <f>INDEX('02_Supplier_Master'!Q8,1)</f>
        <v>Needs Review</v>
      </c>
    </row>
    <row r="70" spans="2:6">
      <c r="B70" s="26" t="str">
        <f>INDEX([1]!SupplierPerformanceWorkspace[Supplier Name],5)</f>
        <v>Vertex Electricals</v>
      </c>
      <c r="C70" s="38">
        <f>INDEX('02_Supplier_Master'!O9,1)</f>
        <v>0.4</v>
      </c>
      <c r="D70" s="40">
        <f>INDEX('02_Supplier_Master'!P9,1)</f>
        <v>1.0892052475977692E-2</v>
      </c>
      <c r="E70" s="39">
        <f>INDEX('02_Supplier_Master'!N9,1)</f>
        <v>1</v>
      </c>
      <c r="F70" s="33" t="str">
        <f>INDEX('02_Supplier_Master'!Q9,1)</f>
        <v>Needs Review</v>
      </c>
    </row>
    <row r="71" spans="2:6">
      <c r="B71" s="28" t="str">
        <f>INDEX([1]!SupplierPerformanceWorkspace[Supplier Name],6)</f>
        <v>Precision Tools India</v>
      </c>
      <c r="C71" s="38">
        <f>INDEX('02_Supplier_Master'!O10,1)</f>
        <v>0.25</v>
      </c>
      <c r="D71" s="40">
        <f>INDEX('02_Supplier_Master'!P10,1)</f>
        <v>1.201923076923077E-2</v>
      </c>
      <c r="E71" s="39">
        <f>INDEX('02_Supplier_Master'!N10,1)</f>
        <v>1.5</v>
      </c>
      <c r="F71" s="33" t="str">
        <f>INDEX('02_Supplier_Master'!Q10,1)</f>
        <v>Needs Review</v>
      </c>
    </row>
    <row r="72" spans="2:6">
      <c r="B72" s="26" t="str">
        <f>INDEX([1]!SupplierPerformanceWorkspace[Supplier Name],7)</f>
        <v>National Bearings Company</v>
      </c>
      <c r="C72" s="38">
        <f>INDEX('02_Supplier_Master'!O11,1)</f>
        <v>0.2857142857142857</v>
      </c>
      <c r="D72" s="40">
        <f>INDEX('02_Supplier_Master'!P11,1)</f>
        <v>1.7776547334111988E-2</v>
      </c>
      <c r="E72" s="39">
        <f>INDEX('02_Supplier_Master'!N11,1)</f>
        <v>2.4285714285714284</v>
      </c>
      <c r="F72" s="33" t="str">
        <f>INDEX('02_Supplier_Master'!Q11,1)</f>
        <v>Needs Review</v>
      </c>
    </row>
    <row r="73" spans="2:6">
      <c r="B73" s="28" t="str">
        <f>INDEX([1]!SupplierPerformanceWorkspace[Supplier Name],8)</f>
        <v>Metro Industrial Mart</v>
      </c>
      <c r="C73" s="38">
        <f>INDEX('02_Supplier_Master'!O12,1)</f>
        <v>0</v>
      </c>
      <c r="D73" s="40">
        <f>INDEX('02_Supplier_Master'!P12,1)</f>
        <v>6.9588414053392847E-2</v>
      </c>
      <c r="E73" s="39">
        <f>INDEX('02_Supplier_Master'!N12,1)</f>
        <v>4.9285714285714288</v>
      </c>
      <c r="F73" s="33" t="str">
        <f>INDEX('02_Supplier_Master'!Q12,1)</f>
        <v>Needs Review</v>
      </c>
    </row>
    <row r="74" spans="2:6">
      <c r="B74" s="26" t="str">
        <f>INDEX([1]!SupplierPerformanceWorkspace[Supplier Name],9)</f>
        <v>SecureTech Safety Solutions</v>
      </c>
      <c r="C74" s="38">
        <f>INDEX('02_Supplier_Master'!O13,1)</f>
        <v>0.25</v>
      </c>
      <c r="D74" s="40">
        <f>INDEX('02_Supplier_Master'!P13,1)</f>
        <v>1.1041652204958436E-2</v>
      </c>
      <c r="E74" s="39">
        <f>INDEX('02_Supplier_Master'!N13,1)</f>
        <v>1.5</v>
      </c>
      <c r="F74" s="33" t="str">
        <f>INDEX('02_Supplier_Master'!Q13,1)</f>
        <v>Needs Review</v>
      </c>
    </row>
    <row r="75" spans="2:6">
      <c r="B75" s="28" t="str">
        <f>INDEX([1]!SupplierPerformanceWorkspace[Supplier Name],10)</f>
        <v>CleanWorks Industrial</v>
      </c>
      <c r="C75" s="38">
        <f>INDEX('02_Supplier_Master'!O14,1)</f>
        <v>0.66666666666666663</v>
      </c>
      <c r="D75" s="40">
        <f>INDEX('02_Supplier_Master'!P14,1)</f>
        <v>1.1423526618790432E-2</v>
      </c>
      <c r="E75" s="39">
        <f>INDEX('02_Supplier_Master'!N14,1)</f>
        <v>0.83333333333333337</v>
      </c>
      <c r="F75" s="33" t="str">
        <f>INDEX('02_Supplier_Master'!Q14,1)</f>
        <v>Needs Review</v>
      </c>
    </row>
    <row r="76" spans="2:6">
      <c r="B76" s="26" t="str">
        <f>INDEX([1]!SupplierPerformanceWorkspace[Supplier Name],11)</f>
        <v>Eastline Components</v>
      </c>
      <c r="C76" s="38">
        <f>INDEX('02_Supplier_Master'!O15,1)</f>
        <v>0</v>
      </c>
      <c r="D76" s="40">
        <f>INDEX('02_Supplier_Master'!P15,1)</f>
        <v>6.9565928731419327E-2</v>
      </c>
      <c r="E76" s="39">
        <f>INDEX('02_Supplier_Master'!N15,1)</f>
        <v>6.875</v>
      </c>
      <c r="F76" s="33" t="str">
        <f>INDEX('02_Supplier_Master'!Q15,1)</f>
        <v>Needs Review</v>
      </c>
    </row>
    <row r="77" spans="2:6">
      <c r="B77" s="28" t="str">
        <f>INDEX([1]!SupplierPerformanceWorkspace[Supplier Name],12)</f>
        <v>ProServe MRO Solutions</v>
      </c>
      <c r="C77" s="38">
        <f>INDEX('02_Supplier_Master'!O16,1)</f>
        <v>2.9411764705882353E-2</v>
      </c>
      <c r="D77" s="40">
        <f>INDEX('02_Supplier_Master'!P16,1)</f>
        <v>2.7961971557247885E-2</v>
      </c>
      <c r="E77" s="39">
        <f>INDEX('02_Supplier_Master'!N16,1)</f>
        <v>3.5294117647058822</v>
      </c>
      <c r="F77" s="33" t="str">
        <f>INDEX('02_Supplier_Master'!Q16,1)</f>
        <v>Needs Review</v>
      </c>
    </row>
    <row r="79" spans="2:6" ht="90" customHeight="1">
      <c r="B79" s="32" t="s">
        <v>418</v>
      </c>
    </row>
    <row r="80" spans="2:6" ht="7.5" customHeight="1"/>
    <row r="81" spans="1:7" ht="30" customHeight="1">
      <c r="A81" s="22" t="s">
        <v>419</v>
      </c>
      <c r="B81" s="23" t="s">
        <v>420</v>
      </c>
    </row>
    <row r="82" spans="1:7" ht="135" customHeight="1">
      <c r="B82" s="24" t="s">
        <v>421</v>
      </c>
    </row>
    <row r="83" spans="1:7" ht="13.5" customHeight="1"/>
    <row r="84" spans="1:7" ht="21.75" customHeight="1">
      <c r="A84" s="53" t="s">
        <v>422</v>
      </c>
      <c r="B84" s="53"/>
    </row>
    <row r="85" spans="1:7" ht="30" customHeight="1">
      <c r="A85" s="22" t="s">
        <v>423</v>
      </c>
      <c r="B85" s="23" t="s">
        <v>424</v>
      </c>
    </row>
    <row r="86" spans="1:7" ht="48.5" customHeight="1">
      <c r="B86" s="24" t="s">
        <v>425</v>
      </c>
    </row>
    <row r="87" spans="1:7" ht="25.5" customHeight="1">
      <c r="B87" s="25" t="s">
        <v>398</v>
      </c>
      <c r="C87" s="25" t="s">
        <v>426</v>
      </c>
      <c r="D87" s="25" t="s">
        <v>427</v>
      </c>
      <c r="E87" s="25" t="s">
        <v>428</v>
      </c>
      <c r="F87" s="25" t="s">
        <v>429</v>
      </c>
      <c r="G87" s="25" t="s">
        <v>452</v>
      </c>
    </row>
    <row r="88" spans="1:7">
      <c r="B88" s="26" t="str">
        <f>INDEX([1]!SupplierQuotesTable[Supplier Name],1)</f>
        <v>SafePro India</v>
      </c>
      <c r="C88" s="34">
        <f>INDEX('05_Sourcing_Decision'!K15,1)</f>
        <v>408.58536585365857</v>
      </c>
      <c r="D88" s="30">
        <f>INDEX('05_Sourcing_Decision'!L15,1)</f>
        <v>1430048.7804878049</v>
      </c>
      <c r="E88" s="30">
        <f>INDEX('05_Sourcing_Decision'!M15,1)</f>
        <v>35751.219512195123</v>
      </c>
      <c r="F88" s="30">
        <f>INDEX('05_Sourcing_Decision'!N15,1)</f>
        <v>4200</v>
      </c>
      <c r="G88" s="30">
        <f>INDEX('05_Sourcing_Decision'!O15,1)</f>
        <v>1470000</v>
      </c>
    </row>
    <row r="89" spans="1:7">
      <c r="B89" s="28" t="str">
        <f>INDEX([1]!SupplierQuotesTable[Supplier Name],2)</f>
        <v>Bharat Industrial Supplies</v>
      </c>
      <c r="C89" s="36">
        <f>INDEX('05_Sourcing_Decision'!K16,1)</f>
        <v>408</v>
      </c>
      <c r="D89" s="30">
        <f>INDEX('05_Sourcing_Decision'!L16,1)</f>
        <v>1428000</v>
      </c>
      <c r="E89" s="30">
        <f>INDEX('05_Sourcing_Decision'!M16,1)</f>
        <v>35700</v>
      </c>
      <c r="F89" s="30">
        <f>INDEX('05_Sourcing_Decision'!N16,1)</f>
        <v>4200</v>
      </c>
      <c r="G89" s="30">
        <f>INDEX('05_Sourcing_Decision'!O16,1)</f>
        <v>1467900</v>
      </c>
    </row>
    <row r="90" spans="1:7">
      <c r="B90" s="26" t="str">
        <f>INDEX([1]!SupplierQuotesTable[Supplier Name],3)</f>
        <v>SecureTech Safety Solutions</v>
      </c>
      <c r="C90" s="34">
        <f>INDEX('05_Sourcing_Decision'!K17,1)</f>
        <v>407.4</v>
      </c>
      <c r="D90" s="30">
        <f>INDEX('05_Sourcing_Decision'!L17,1)</f>
        <v>1425900</v>
      </c>
      <c r="E90" s="30">
        <f>INDEX('05_Sourcing_Decision'!M17,1)</f>
        <v>35647.5</v>
      </c>
      <c r="F90" s="30">
        <f>INDEX('05_Sourcing_Decision'!N17,1)</f>
        <v>4200</v>
      </c>
      <c r="G90" s="30">
        <f>INDEX('05_Sourcing_Decision'!O17,1)</f>
        <v>1465747.5</v>
      </c>
    </row>
    <row r="91" spans="1:7">
      <c r="B91" s="28" t="str">
        <f>INDEX([1]!SupplierQuotesTable[Supplier Name],4)</f>
        <v>Metro Industrial Mart</v>
      </c>
      <c r="C91" s="34">
        <f>INDEX('05_Sourcing_Decision'!K18,1)</f>
        <v>395</v>
      </c>
      <c r="D91" s="30">
        <f>INDEX('05_Sourcing_Decision'!L18,1)</f>
        <v>1382500</v>
      </c>
      <c r="E91" s="30">
        <f>INDEX('05_Sourcing_Decision'!M18,1)</f>
        <v>34562.5</v>
      </c>
      <c r="F91" s="30">
        <f>INDEX('05_Sourcing_Decision'!N18,1)</f>
        <v>4200</v>
      </c>
      <c r="G91" s="30">
        <f>INDEX('05_Sourcing_Decision'!O18,1)</f>
        <v>1421262.5</v>
      </c>
    </row>
    <row r="93" spans="1:7" ht="45" customHeight="1">
      <c r="B93" s="32" t="str">
        <f>CONCATENATE("Answer: The complete expected purchase cost ranges from ₹", TEXT(MIN([1]!SupplierQuotesTable[Total Landed Cost]),"#,##0")," to ₹", TEXT(MAX([1]!SupplierQuotesTable[Total Landed Cost]),"#,##0")," depending on the suppliers quoted price, discount and offered lead time. SafePro Indias quote lands exactly at the approved budget.")</f>
        <v>Answer: The complete expected purchase cost ranges from ₹14,21,263 to ₹14,70,000 depending on the suppliers quoted price, discount and offered lead time. SafePro Indias quote lands exactly at the approved budget.</v>
      </c>
    </row>
    <row r="94" spans="1:7" ht="7.5" customHeight="1"/>
    <row r="95" spans="1:7" ht="30" customHeight="1">
      <c r="A95" s="22" t="s">
        <v>430</v>
      </c>
      <c r="B95" s="23" t="s">
        <v>431</v>
      </c>
    </row>
    <row r="96" spans="1:7" ht="42" customHeight="1">
      <c r="B96" s="24" t="s">
        <v>432</v>
      </c>
    </row>
    <row r="97" spans="1:5">
      <c r="B97" s="41" t="s">
        <v>433</v>
      </c>
    </row>
    <row r="98" spans="1:5" ht="15.5">
      <c r="B98" s="42">
        <f>'[1]05_Sourcing_Decision'!B27</f>
        <v>416.92384270781503</v>
      </c>
    </row>
    <row r="99" spans="1:5" ht="61.5" customHeight="1">
      <c r="B99" s="32" t="s">
        <v>434</v>
      </c>
    </row>
    <row r="100" spans="1:5" ht="7.5" customHeight="1"/>
    <row r="101" spans="1:5" ht="30" customHeight="1">
      <c r="A101" s="22" t="s">
        <v>435</v>
      </c>
      <c r="B101" s="23" t="s">
        <v>436</v>
      </c>
    </row>
    <row r="102" spans="1:5" ht="31.5" customHeight="1">
      <c r="B102" s="25" t="s">
        <v>398</v>
      </c>
      <c r="C102" s="25" t="s">
        <v>437</v>
      </c>
      <c r="D102" s="25" t="s">
        <v>438</v>
      </c>
      <c r="E102" s="25" t="s">
        <v>439</v>
      </c>
    </row>
    <row r="103" spans="1:5" ht="42" customHeight="1">
      <c r="B103" s="26" t="s">
        <v>205</v>
      </c>
      <c r="C103" s="33" t="str">
        <f>INDEX('05_Sourcing_Decision'!Q15,1)</f>
        <v>Yes</v>
      </c>
      <c r="D103" s="33" t="s">
        <v>440</v>
      </c>
      <c r="E103" s="33" t="s">
        <v>441</v>
      </c>
    </row>
    <row r="104" spans="1:5" ht="42" customHeight="1">
      <c r="B104" s="28" t="s">
        <v>227</v>
      </c>
      <c r="C104" s="33" t="str">
        <f>INDEX('05_Sourcing_Decision'!Q17,1)</f>
        <v>Yes</v>
      </c>
      <c r="D104" s="35" t="s">
        <v>442</v>
      </c>
      <c r="E104" s="35" t="s">
        <v>443</v>
      </c>
    </row>
    <row r="105" spans="1:5" ht="42" customHeight="1">
      <c r="B105" s="26" t="s">
        <v>197</v>
      </c>
      <c r="C105" s="33" t="str">
        <f>INDEX('05_Sourcing_Decision'!Q16,1)</f>
        <v>No</v>
      </c>
      <c r="D105" s="33" t="s">
        <v>444</v>
      </c>
      <c r="E105" s="33" t="s">
        <v>445</v>
      </c>
    </row>
    <row r="106" spans="1:5" ht="42" customHeight="1">
      <c r="B106" s="28" t="s">
        <v>223</v>
      </c>
      <c r="C106" s="33" t="str">
        <f>INDEX('05_Sourcing_Decision'!Q18,1)</f>
        <v>No</v>
      </c>
      <c r="D106" s="35" t="s">
        <v>446</v>
      </c>
      <c r="E106" s="35" t="s">
        <v>447</v>
      </c>
    </row>
    <row r="108" spans="1:5" ht="31.5" customHeight="1">
      <c r="B108" s="43" t="s">
        <v>448</v>
      </c>
    </row>
    <row r="109" spans="1:5" ht="270" customHeight="1">
      <c r="B109" s="24" t="s">
        <v>449</v>
      </c>
    </row>
    <row r="110" spans="1:5" ht="13.5" customHeight="1"/>
    <row r="111" spans="1:5" ht="22.4" customHeight="1">
      <c r="A111" s="54" t="s">
        <v>450</v>
      </c>
      <c r="B111" s="54"/>
    </row>
  </sheetData>
  <mergeCells count="7">
    <mergeCell ref="A8:B8"/>
    <mergeCell ref="A37:B37"/>
    <mergeCell ref="A84:B84"/>
    <mergeCell ref="A111:B111"/>
    <mergeCell ref="A1:B1"/>
    <mergeCell ref="A2:B2"/>
    <mergeCell ref="A4:B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4"/>
  <sheetViews>
    <sheetView workbookViewId="0">
      <selection activeCell="K113" sqref="K113"/>
    </sheetView>
  </sheetViews>
  <sheetFormatPr defaultRowHeight="14"/>
  <cols>
    <col min="1" max="1" width="10" customWidth="1"/>
    <col min="2" max="4" width="12" customWidth="1"/>
    <col min="5" max="5" width="10" customWidth="1"/>
    <col min="6" max="6" width="12" customWidth="1"/>
    <col min="7" max="7" width="13" customWidth="1"/>
    <col min="8" max="10" width="11" customWidth="1"/>
    <col min="11" max="12" width="12" customWidth="1"/>
    <col min="13" max="13" width="25" customWidth="1"/>
    <col min="14" max="14" width="30" customWidth="1"/>
    <col min="15" max="15" width="26" customWidth="1"/>
    <col min="16" max="16" width="15" customWidth="1"/>
    <col min="17" max="17" width="13" customWidth="1"/>
    <col min="18" max="19" width="11" customWidth="1"/>
    <col min="20" max="20" width="16" customWidth="1"/>
  </cols>
  <sheetData>
    <row r="1" spans="1:28" ht="18.649999999999999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V1" s="45" t="s">
        <v>1</v>
      </c>
      <c r="W1" s="45"/>
      <c r="X1" s="45"/>
      <c r="Y1" s="45"/>
      <c r="Z1" s="45"/>
      <c r="AA1" s="45"/>
      <c r="AB1" s="45"/>
    </row>
    <row r="2" spans="1:28" ht="16" customHeight="1">
      <c r="A2" s="49" t="s">
        <v>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V2" s="45"/>
      <c r="W2" s="45"/>
      <c r="X2" s="45"/>
      <c r="Y2" s="45"/>
      <c r="Z2" s="45"/>
      <c r="AA2" s="45"/>
      <c r="AB2" s="45"/>
    </row>
    <row r="3" spans="1:28" ht="12" customHeight="1">
      <c r="V3" s="46" t="s">
        <v>3</v>
      </c>
      <c r="W3" s="46"/>
      <c r="X3" s="46"/>
      <c r="Y3" s="46"/>
      <c r="Z3" s="46"/>
      <c r="AA3" s="46"/>
      <c r="AB3" s="46"/>
    </row>
    <row r="4" spans="1:28" ht="21.4" customHeight="1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10" t="s">
        <v>22</v>
      </c>
      <c r="T4" s="10" t="s">
        <v>23</v>
      </c>
      <c r="V4" s="46"/>
      <c r="W4" s="46"/>
      <c r="X4" s="46"/>
      <c r="Y4" s="46"/>
      <c r="Z4" s="46"/>
      <c r="AA4" s="46"/>
      <c r="AB4" s="46"/>
    </row>
    <row r="5" spans="1:28" ht="12" customHeight="1">
      <c r="A5" t="s">
        <v>24</v>
      </c>
      <c r="B5" s="2">
        <v>46188</v>
      </c>
      <c r="C5" s="2">
        <v>46197</v>
      </c>
      <c r="D5" s="2">
        <v>46199</v>
      </c>
      <c r="E5" t="s">
        <v>25</v>
      </c>
      <c r="F5" t="s">
        <v>26</v>
      </c>
      <c r="G5" t="s">
        <v>27</v>
      </c>
      <c r="H5" s="3">
        <v>950</v>
      </c>
      <c r="I5" s="3">
        <v>934</v>
      </c>
      <c r="J5" s="3">
        <v>38</v>
      </c>
      <c r="K5" s="4">
        <v>533.17999999999995</v>
      </c>
      <c r="L5" t="s">
        <v>28</v>
      </c>
      <c r="M5" s="6" t="str">
        <f>VLOOKUP(PurchaseOrdersTable[[#This Row],[Supplier Code]],SupplierMasterTable[[Supplier Code]:[Supplier Name]],2,)</f>
        <v>ProServe MRO Solutions</v>
      </c>
      <c r="N5" s="6" t="str">
        <f>VLOOKUP(PurchaseOrdersTable[[#This Row],[Product Code]],ProductMasterTable[[Product Code]:[Product Name]],2,)</f>
        <v>Reflective Safety Jacket</v>
      </c>
      <c r="O5" s="6" t="str">
        <f>VLOOKUP(PurchaseOrdersTable[[#This Row],[Product Code]],ProductMasterTable[[#All],[Product Code]:[Category]],3,)</f>
        <v>Safety and PPE</v>
      </c>
      <c r="P5" s="7">
        <f>PurchaseOrdersTable[[#This Row],[Qty Ordered]]*PurchaseOrdersTable[[#This Row],[Unit Price (₹)]]</f>
        <v>506520.99999999994</v>
      </c>
      <c r="Q5" s="8">
        <f>PurchaseOrdersTable[[#This Row],[Delivery Date]]-PurchaseOrdersTable[[#This Row],[Order Date]]</f>
        <v>11</v>
      </c>
      <c r="R5" s="8">
        <f>MAX(0, PurchaseOrdersTable[[#This Row],[Delivery Date]]-PurchaseOrdersTable[[#This Row],[Promised Date]])</f>
        <v>2</v>
      </c>
      <c r="S5" s="9">
        <f>PurchaseOrdersTable[[#This Row],[Rejected Qty]]/PurchaseOrdersTable[[#This Row],[Qty Received]]</f>
        <v>4.068522483940043E-2</v>
      </c>
      <c r="T5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  <c r="V5" s="46"/>
      <c r="W5" s="46"/>
      <c r="X5" s="46"/>
      <c r="Y5" s="46"/>
      <c r="Z5" s="46"/>
      <c r="AA5" s="46"/>
      <c r="AB5" s="46"/>
    </row>
    <row r="6" spans="1:28" ht="12" customHeight="1">
      <c r="A6" t="s">
        <v>29</v>
      </c>
      <c r="B6" s="2">
        <v>46191</v>
      </c>
      <c r="C6" s="2">
        <v>46202</v>
      </c>
      <c r="D6" s="2">
        <v>46200</v>
      </c>
      <c r="E6" t="s">
        <v>30</v>
      </c>
      <c r="F6" t="s">
        <v>31</v>
      </c>
      <c r="G6" t="s">
        <v>32</v>
      </c>
      <c r="H6" s="3">
        <v>280</v>
      </c>
      <c r="I6" s="3">
        <v>280</v>
      </c>
      <c r="J6" s="3">
        <v>12</v>
      </c>
      <c r="K6" s="4">
        <v>1484.78</v>
      </c>
      <c r="L6" t="s">
        <v>28</v>
      </c>
      <c r="M6" s="6" t="str">
        <f>VLOOKUP(PurchaseOrdersTable[[#This Row],[Supplier Code]],SupplierMasterTable[[Supplier Code]:[Supplier Name]],2,)</f>
        <v>National Bearings Company</v>
      </c>
      <c r="N6" s="6" t="str">
        <f>VLOOKUP(PurchaseOrdersTable[[#This Row],[Product Code]],ProductMasterTable[[Product Code]:[Product Name]],2,)</f>
        <v>Heavy-Duty Industrial Belt</v>
      </c>
      <c r="O6" s="6" t="str">
        <f>VLOOKUP(PurchaseOrdersTable[[#This Row],[Product Code]],ProductMasterTable[[#All],[Product Code]:[Category]],3,)</f>
        <v>Bearings and Mechanical</v>
      </c>
      <c r="P6" s="7">
        <f>PurchaseOrdersTable[[#This Row],[Qty Ordered]]*PurchaseOrdersTable[[#This Row],[Unit Price (₹)]]</f>
        <v>415738.39999999997</v>
      </c>
      <c r="Q6" s="8">
        <f>PurchaseOrdersTable[[#This Row],[Delivery Date]]-PurchaseOrdersTable[[#This Row],[Order Date]]</f>
        <v>9</v>
      </c>
      <c r="R6" s="8">
        <f>MAX(0, PurchaseOrdersTable[[#This Row],[Delivery Date]]-PurchaseOrdersTable[[#This Row],[Promised Date]])</f>
        <v>0</v>
      </c>
      <c r="S6" s="9">
        <f>PurchaseOrdersTable[[#This Row],[Rejected Qty]]/PurchaseOrdersTable[[#This Row],[Qty Received]]</f>
        <v>4.2857142857142858E-2</v>
      </c>
      <c r="T6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  <c r="V6" s="46"/>
      <c r="W6" s="46"/>
      <c r="X6" s="46"/>
      <c r="Y6" s="46"/>
      <c r="Z6" s="46"/>
      <c r="AA6" s="46"/>
      <c r="AB6" s="46"/>
    </row>
    <row r="7" spans="1:28" ht="12" customHeight="1">
      <c r="A7" t="s">
        <v>33</v>
      </c>
      <c r="B7" s="2">
        <v>46190</v>
      </c>
      <c r="C7" s="2">
        <v>46198</v>
      </c>
      <c r="D7" s="2">
        <v>46198</v>
      </c>
      <c r="E7" t="s">
        <v>34</v>
      </c>
      <c r="F7" t="s">
        <v>35</v>
      </c>
      <c r="G7" t="s">
        <v>36</v>
      </c>
      <c r="H7" s="3">
        <v>700</v>
      </c>
      <c r="I7" s="3">
        <v>691</v>
      </c>
      <c r="J7" s="3">
        <v>9</v>
      </c>
      <c r="K7" s="4">
        <v>2262.63</v>
      </c>
      <c r="L7" t="s">
        <v>28</v>
      </c>
      <c r="M7" s="6" t="str">
        <f>VLOOKUP(PurchaseOrdersTable[[#This Row],[Supplier Code]],SupplierMasterTable[[Supplier Code]:[Supplier Name]],2,)</f>
        <v>Western MRO Hub</v>
      </c>
      <c r="N7" s="6" t="str">
        <f>VLOOKUP(PurchaseOrdersTable[[#This Row],[Product Code]],ProductMasterTable[[Product Code]:[Product Name]],2,)</f>
        <v>Three-Phase Contactor</v>
      </c>
      <c r="O7" s="6" t="str">
        <f>VLOOKUP(PurchaseOrdersTable[[#This Row],[Product Code]],ProductMasterTable[[#All],[Product Code]:[Category]],3,)</f>
        <v>Electricals</v>
      </c>
      <c r="P7" s="7">
        <f>PurchaseOrdersTable[[#This Row],[Qty Ordered]]*PurchaseOrdersTable[[#This Row],[Unit Price (₹)]]</f>
        <v>1583841</v>
      </c>
      <c r="Q7" s="8">
        <f>PurchaseOrdersTable[[#This Row],[Delivery Date]]-PurchaseOrdersTable[[#This Row],[Order Date]]</f>
        <v>8</v>
      </c>
      <c r="R7" s="8">
        <f>MAX(0, PurchaseOrdersTable[[#This Row],[Delivery Date]]-PurchaseOrdersTable[[#This Row],[Promised Date]])</f>
        <v>0</v>
      </c>
      <c r="S7" s="9">
        <f>PurchaseOrdersTable[[#This Row],[Rejected Qty]]/PurchaseOrdersTable[[#This Row],[Qty Received]]</f>
        <v>1.3024602026049204E-2</v>
      </c>
      <c r="T7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  <c r="V7" s="46"/>
      <c r="W7" s="46"/>
      <c r="X7" s="46"/>
      <c r="Y7" s="46"/>
      <c r="Z7" s="46"/>
      <c r="AA7" s="46"/>
      <c r="AB7" s="46"/>
    </row>
    <row r="8" spans="1:28" ht="12" customHeight="1">
      <c r="A8" t="s">
        <v>37</v>
      </c>
      <c r="B8" s="2">
        <v>46076</v>
      </c>
      <c r="C8" s="2">
        <v>46086</v>
      </c>
      <c r="D8" s="2">
        <v>46088</v>
      </c>
      <c r="E8" t="s">
        <v>38</v>
      </c>
      <c r="F8" t="s">
        <v>39</v>
      </c>
      <c r="G8" t="s">
        <v>40</v>
      </c>
      <c r="H8" s="3">
        <v>1800</v>
      </c>
      <c r="I8" s="3">
        <v>1793</v>
      </c>
      <c r="J8" s="3">
        <v>48</v>
      </c>
      <c r="K8" s="4">
        <v>412.14</v>
      </c>
      <c r="L8" t="s">
        <v>28</v>
      </c>
      <c r="M8" s="6" t="str">
        <f>VLOOKUP(PurchaseOrdersTable[[#This Row],[Supplier Code]],SupplierMasterTable[[Supplier Code]:[Supplier Name]],2,)</f>
        <v>Bharat Industrial Supplies</v>
      </c>
      <c r="N8" s="6" t="str">
        <f>VLOOKUP(PurchaseOrdersTable[[#This Row],[Product Code]],ProductMasterTable[[Product Code]:[Product Name]],2,)</f>
        <v>Industrial Safety Helmet</v>
      </c>
      <c r="O8" s="6" t="str">
        <f>VLOOKUP(PurchaseOrdersTable[[#This Row],[Product Code]],ProductMasterTable[[#All],[Product Code]:[Category]],3,)</f>
        <v>Safety and PPE</v>
      </c>
      <c r="P8" s="7">
        <f>PurchaseOrdersTable[[#This Row],[Qty Ordered]]*PurchaseOrdersTable[[#This Row],[Unit Price (₹)]]</f>
        <v>741852</v>
      </c>
      <c r="Q8" s="8">
        <f>PurchaseOrdersTable[[#This Row],[Delivery Date]]-PurchaseOrdersTable[[#This Row],[Order Date]]</f>
        <v>12</v>
      </c>
      <c r="R8" s="8">
        <f>MAX(0, PurchaseOrdersTable[[#This Row],[Delivery Date]]-PurchaseOrdersTable[[#This Row],[Promised Date]])</f>
        <v>2</v>
      </c>
      <c r="S8" s="9">
        <f>PurchaseOrdersTable[[#This Row],[Rejected Qty]]/PurchaseOrdersTable[[#This Row],[Qty Received]]</f>
        <v>2.6770775237032907E-2</v>
      </c>
      <c r="T8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  <c r="V8" s="46"/>
      <c r="W8" s="46"/>
      <c r="X8" s="46"/>
      <c r="Y8" s="46"/>
      <c r="Z8" s="46"/>
      <c r="AA8" s="46"/>
      <c r="AB8" s="46"/>
    </row>
    <row r="9" spans="1:28" ht="12" customHeight="1">
      <c r="A9" t="s">
        <v>41</v>
      </c>
      <c r="B9" s="2">
        <v>46184</v>
      </c>
      <c r="C9" s="2">
        <v>46191</v>
      </c>
      <c r="D9" s="2">
        <v>46193</v>
      </c>
      <c r="E9" t="s">
        <v>25</v>
      </c>
      <c r="F9" t="s">
        <v>42</v>
      </c>
      <c r="G9" t="s">
        <v>43</v>
      </c>
      <c r="H9" s="3">
        <v>900</v>
      </c>
      <c r="I9" s="3">
        <v>900</v>
      </c>
      <c r="J9" s="3">
        <v>3</v>
      </c>
      <c r="K9" s="4">
        <v>796.23</v>
      </c>
      <c r="L9" t="s">
        <v>28</v>
      </c>
      <c r="M9" s="6" t="str">
        <f>VLOOKUP(PurchaseOrdersTable[[#This Row],[Supplier Code]],SupplierMasterTable[[Supplier Code]:[Supplier Name]],2,)</f>
        <v>SafePro India</v>
      </c>
      <c r="N9" s="6" t="str">
        <f>VLOOKUP(PurchaseOrdersTable[[#This Row],[Product Code]],ProductMasterTable[[Product Code]:[Product Name]],2,)</f>
        <v>Nitrile Gloves - Box of 100</v>
      </c>
      <c r="O9" s="6" t="str">
        <f>VLOOKUP(PurchaseOrdersTable[[#This Row],[Product Code]],ProductMasterTable[[#All],[Product Code]:[Category]],3,)</f>
        <v>Safety and PPE</v>
      </c>
      <c r="P9" s="7">
        <f>PurchaseOrdersTable[[#This Row],[Qty Ordered]]*PurchaseOrdersTable[[#This Row],[Unit Price (₹)]]</f>
        <v>716607</v>
      </c>
      <c r="Q9" s="8">
        <f>PurchaseOrdersTable[[#This Row],[Delivery Date]]-PurchaseOrdersTable[[#This Row],[Order Date]]</f>
        <v>9</v>
      </c>
      <c r="R9" s="8">
        <f>MAX(0, PurchaseOrdersTable[[#This Row],[Delivery Date]]-PurchaseOrdersTable[[#This Row],[Promised Date]])</f>
        <v>2</v>
      </c>
      <c r="S9" s="9">
        <f>PurchaseOrdersTable[[#This Row],[Rejected Qty]]/PurchaseOrdersTable[[#This Row],[Qty Received]]</f>
        <v>3.3333333333333335E-3</v>
      </c>
      <c r="T9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  <c r="V9" s="46"/>
      <c r="W9" s="46"/>
      <c r="X9" s="46"/>
      <c r="Y9" s="46"/>
      <c r="Z9" s="46"/>
      <c r="AA9" s="46"/>
      <c r="AB9" s="46"/>
    </row>
    <row r="10" spans="1:28" ht="12" customHeight="1">
      <c r="A10" t="s">
        <v>44</v>
      </c>
      <c r="B10" s="2">
        <v>46165</v>
      </c>
      <c r="C10" s="2">
        <v>46177</v>
      </c>
      <c r="D10" s="2">
        <v>46187</v>
      </c>
      <c r="E10" t="s">
        <v>30</v>
      </c>
      <c r="F10" t="s">
        <v>45</v>
      </c>
      <c r="G10" t="s">
        <v>46</v>
      </c>
      <c r="H10" s="3">
        <v>320</v>
      </c>
      <c r="I10" s="3">
        <v>314</v>
      </c>
      <c r="J10" s="3">
        <v>11</v>
      </c>
      <c r="K10" s="4">
        <v>1728.27</v>
      </c>
      <c r="L10" t="s">
        <v>28</v>
      </c>
      <c r="M10" s="6" t="str">
        <f>VLOOKUP(PurchaseOrdersTable[[#This Row],[Supplier Code]],SupplierMasterTable[[Supplier Code]:[Supplier Name]],2,)</f>
        <v>Eastern Engineering Traders</v>
      </c>
      <c r="N10" s="6" t="str">
        <f>VLOOKUP(PurchaseOrdersTable[[#This Row],[Product Code]],ProductMasterTable[[Product Code]:[Product Name]],2,)</f>
        <v>Industrial LED High-Bay Light</v>
      </c>
      <c r="O10" s="6" t="str">
        <f>VLOOKUP(PurchaseOrdersTable[[#This Row],[Product Code]],ProductMasterTable[[#All],[Product Code]:[Category]],3,)</f>
        <v>Electricals</v>
      </c>
      <c r="P10" s="7">
        <f>PurchaseOrdersTable[[#This Row],[Qty Ordered]]*PurchaseOrdersTable[[#This Row],[Unit Price (₹)]]</f>
        <v>553046.4</v>
      </c>
      <c r="Q10" s="8">
        <f>PurchaseOrdersTable[[#This Row],[Delivery Date]]-PurchaseOrdersTable[[#This Row],[Order Date]]</f>
        <v>22</v>
      </c>
      <c r="R10" s="8">
        <f>MAX(0, PurchaseOrdersTable[[#This Row],[Delivery Date]]-PurchaseOrdersTable[[#This Row],[Promised Date]])</f>
        <v>10</v>
      </c>
      <c r="S10" s="9">
        <f>PurchaseOrdersTable[[#This Row],[Rejected Qty]]/PurchaseOrdersTable[[#This Row],[Qty Received]]</f>
        <v>3.5031847133757961E-2</v>
      </c>
      <c r="T10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  <c r="V10" s="46"/>
      <c r="W10" s="46"/>
      <c r="X10" s="46"/>
      <c r="Y10" s="46"/>
      <c r="Z10" s="46"/>
      <c r="AA10" s="46"/>
      <c r="AB10" s="46"/>
    </row>
    <row r="11" spans="1:28" ht="12" customHeight="1">
      <c r="A11" t="s">
        <v>47</v>
      </c>
      <c r="B11" s="2">
        <v>46156</v>
      </c>
      <c r="C11" s="2">
        <v>46165</v>
      </c>
      <c r="D11" s="2">
        <v>46168</v>
      </c>
      <c r="E11" t="s">
        <v>34</v>
      </c>
      <c r="F11" t="s">
        <v>26</v>
      </c>
      <c r="G11" t="s">
        <v>48</v>
      </c>
      <c r="H11" s="3">
        <v>70</v>
      </c>
      <c r="I11" s="3">
        <v>70</v>
      </c>
      <c r="J11" s="3">
        <v>1</v>
      </c>
      <c r="K11" s="4">
        <v>4661.53</v>
      </c>
      <c r="L11" t="s">
        <v>28</v>
      </c>
      <c r="M11" s="6" t="str">
        <f>VLOOKUP(PurchaseOrdersTable[[#This Row],[Supplier Code]],SupplierMasterTable[[Supplier Code]:[Supplier Name]],2,)</f>
        <v>ProServe MRO Solutions</v>
      </c>
      <c r="N11" s="6" t="str">
        <f>VLOOKUP(PurchaseOrdersTable[[#This Row],[Product Code]],ProductMasterTable[[Product Code]:[Product Name]],2,)</f>
        <v>Industrial Torque Wrench</v>
      </c>
      <c r="O11" s="6" t="str">
        <f>VLOOKUP(PurchaseOrdersTable[[#This Row],[Product Code]],ProductMasterTable[[#All],[Product Code]:[Category]],3,)</f>
        <v>Hand Tools</v>
      </c>
      <c r="P11" s="7">
        <f>PurchaseOrdersTable[[#This Row],[Qty Ordered]]*PurchaseOrdersTable[[#This Row],[Unit Price (₹)]]</f>
        <v>326307.09999999998</v>
      </c>
      <c r="Q11" s="8">
        <f>PurchaseOrdersTable[[#This Row],[Delivery Date]]-PurchaseOrdersTable[[#This Row],[Order Date]]</f>
        <v>12</v>
      </c>
      <c r="R11" s="8">
        <f>MAX(0, PurchaseOrdersTable[[#This Row],[Delivery Date]]-PurchaseOrdersTable[[#This Row],[Promised Date]])</f>
        <v>3</v>
      </c>
      <c r="S11" s="9">
        <f>PurchaseOrdersTable[[#This Row],[Rejected Qty]]/PurchaseOrdersTable[[#This Row],[Qty Received]]</f>
        <v>1.4285714285714285E-2</v>
      </c>
      <c r="T11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  <c r="V11" s="46"/>
      <c r="W11" s="46"/>
      <c r="X11" s="46"/>
      <c r="Y11" s="46"/>
      <c r="Z11" s="46"/>
      <c r="AA11" s="46"/>
      <c r="AB11" s="46"/>
    </row>
    <row r="12" spans="1:28" ht="12" customHeight="1">
      <c r="A12" t="s">
        <v>49</v>
      </c>
      <c r="B12" s="2">
        <v>46086</v>
      </c>
      <c r="C12" s="2">
        <v>46095</v>
      </c>
      <c r="D12" s="2">
        <v>46099</v>
      </c>
      <c r="E12" t="s">
        <v>38</v>
      </c>
      <c r="F12" t="s">
        <v>26</v>
      </c>
      <c r="G12" t="s">
        <v>50</v>
      </c>
      <c r="H12" s="3">
        <v>70</v>
      </c>
      <c r="I12" s="3">
        <v>69</v>
      </c>
      <c r="J12" s="3">
        <v>1</v>
      </c>
      <c r="K12" s="4">
        <v>3798.16</v>
      </c>
      <c r="L12" t="s">
        <v>28</v>
      </c>
      <c r="M12" s="6" t="str">
        <f>VLOOKUP(PurchaseOrdersTable[[#This Row],[Supplier Code]],SupplierMasterTable[[Supplier Code]:[Supplier Name]],2,)</f>
        <v>ProServe MRO Solutions</v>
      </c>
      <c r="N12" s="6" t="str">
        <f>VLOOKUP(PurchaseOrdersTable[[#This Row],[Product Code]],ProductMasterTable[[Product Code]:[Product Name]],2,)</f>
        <v>Industrial Angle Grinder</v>
      </c>
      <c r="O12" s="6" t="str">
        <f>VLOOKUP(PurchaseOrdersTable[[#This Row],[Product Code]],ProductMasterTable[[#All],[Product Code]:[Category]],3,)</f>
        <v>Hand Tools</v>
      </c>
      <c r="P12" s="7">
        <f>PurchaseOrdersTable[[#This Row],[Qty Ordered]]*PurchaseOrdersTable[[#This Row],[Unit Price (₹)]]</f>
        <v>265871.2</v>
      </c>
      <c r="Q12" s="8">
        <f>PurchaseOrdersTable[[#This Row],[Delivery Date]]-PurchaseOrdersTable[[#This Row],[Order Date]]</f>
        <v>13</v>
      </c>
      <c r="R12" s="8">
        <f>MAX(0, PurchaseOrdersTable[[#This Row],[Delivery Date]]-PurchaseOrdersTable[[#This Row],[Promised Date]])</f>
        <v>4</v>
      </c>
      <c r="S12" s="9">
        <f>PurchaseOrdersTable[[#This Row],[Rejected Qty]]/PurchaseOrdersTable[[#This Row],[Qty Received]]</f>
        <v>1.4492753623188406E-2</v>
      </c>
      <c r="T12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  <c r="V12" s="46"/>
      <c r="W12" s="46"/>
      <c r="X12" s="46"/>
      <c r="Y12" s="46"/>
      <c r="Z12" s="46"/>
      <c r="AA12" s="46"/>
      <c r="AB12" s="46"/>
    </row>
    <row r="13" spans="1:28" ht="12" customHeight="1">
      <c r="A13" t="s">
        <v>51</v>
      </c>
      <c r="B13" s="2">
        <v>46046</v>
      </c>
      <c r="C13" s="2">
        <v>46055</v>
      </c>
      <c r="D13" s="2">
        <v>46057</v>
      </c>
      <c r="E13" t="s">
        <v>25</v>
      </c>
      <c r="F13" t="s">
        <v>26</v>
      </c>
      <c r="G13" t="s">
        <v>46</v>
      </c>
      <c r="H13" s="3">
        <v>480</v>
      </c>
      <c r="I13" s="3">
        <v>479</v>
      </c>
      <c r="J13" s="3">
        <v>14</v>
      </c>
      <c r="K13" s="4">
        <v>1815.56</v>
      </c>
      <c r="L13" t="s">
        <v>28</v>
      </c>
      <c r="M13" s="6" t="str">
        <f>VLOOKUP(PurchaseOrdersTable[[#This Row],[Supplier Code]],SupplierMasterTable[[Supplier Code]:[Supplier Name]],2,)</f>
        <v>ProServe MRO Solutions</v>
      </c>
      <c r="N13" s="6" t="str">
        <f>VLOOKUP(PurchaseOrdersTable[[#This Row],[Product Code]],ProductMasterTable[[Product Code]:[Product Name]],2,)</f>
        <v>Industrial LED High-Bay Light</v>
      </c>
      <c r="O13" s="6" t="str">
        <f>VLOOKUP(PurchaseOrdersTable[[#This Row],[Product Code]],ProductMasterTable[[#All],[Product Code]:[Category]],3,)</f>
        <v>Electricals</v>
      </c>
      <c r="P13" s="7">
        <f>PurchaseOrdersTable[[#This Row],[Qty Ordered]]*PurchaseOrdersTable[[#This Row],[Unit Price (₹)]]</f>
        <v>871468.79999999993</v>
      </c>
      <c r="Q13" s="8">
        <f>PurchaseOrdersTable[[#This Row],[Delivery Date]]-PurchaseOrdersTable[[#This Row],[Order Date]]</f>
        <v>11</v>
      </c>
      <c r="R13" s="8">
        <f>MAX(0, PurchaseOrdersTable[[#This Row],[Delivery Date]]-PurchaseOrdersTable[[#This Row],[Promised Date]])</f>
        <v>2</v>
      </c>
      <c r="S13" s="9">
        <f>PurchaseOrdersTable[[#This Row],[Rejected Qty]]/PurchaseOrdersTable[[#This Row],[Qty Received]]</f>
        <v>2.9227557411273485E-2</v>
      </c>
      <c r="T13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  <c r="V13" s="46"/>
      <c r="W13" s="46"/>
      <c r="X13" s="46"/>
      <c r="Y13" s="46"/>
      <c r="Z13" s="46"/>
      <c r="AA13" s="46"/>
      <c r="AB13" s="46"/>
    </row>
    <row r="14" spans="1:28" ht="12" customHeight="1">
      <c r="A14" t="s">
        <v>52</v>
      </c>
      <c r="B14" s="2">
        <v>46051</v>
      </c>
      <c r="C14" s="2">
        <v>46061</v>
      </c>
      <c r="D14" s="2">
        <v>46062</v>
      </c>
      <c r="E14" t="s">
        <v>30</v>
      </c>
      <c r="F14" t="s">
        <v>39</v>
      </c>
      <c r="G14" t="s">
        <v>36</v>
      </c>
      <c r="H14" s="3">
        <v>260</v>
      </c>
      <c r="I14" s="3">
        <v>258</v>
      </c>
      <c r="J14" s="3">
        <v>8</v>
      </c>
      <c r="K14" s="4">
        <v>2112.3200000000002</v>
      </c>
      <c r="L14" t="s">
        <v>28</v>
      </c>
      <c r="M14" s="6" t="str">
        <f>VLOOKUP(PurchaseOrdersTable[[#This Row],[Supplier Code]],SupplierMasterTable[[Supplier Code]:[Supplier Name]],2,)</f>
        <v>Bharat Industrial Supplies</v>
      </c>
      <c r="N14" s="6" t="str">
        <f>VLOOKUP(PurchaseOrdersTable[[#This Row],[Product Code]],ProductMasterTable[[Product Code]:[Product Name]],2,)</f>
        <v>Three-Phase Contactor</v>
      </c>
      <c r="O14" s="6" t="str">
        <f>VLOOKUP(PurchaseOrdersTable[[#This Row],[Product Code]],ProductMasterTable[[#All],[Product Code]:[Category]],3,)</f>
        <v>Electricals</v>
      </c>
      <c r="P14" s="7">
        <f>PurchaseOrdersTable[[#This Row],[Qty Ordered]]*PurchaseOrdersTable[[#This Row],[Unit Price (₹)]]</f>
        <v>549203.20000000007</v>
      </c>
      <c r="Q14" s="8">
        <f>PurchaseOrdersTable[[#This Row],[Delivery Date]]-PurchaseOrdersTable[[#This Row],[Order Date]]</f>
        <v>11</v>
      </c>
      <c r="R14" s="8">
        <f>MAX(0, PurchaseOrdersTable[[#This Row],[Delivery Date]]-PurchaseOrdersTable[[#This Row],[Promised Date]])</f>
        <v>1</v>
      </c>
      <c r="S14" s="9">
        <f>PurchaseOrdersTable[[#This Row],[Rejected Qty]]/PurchaseOrdersTable[[#This Row],[Qty Received]]</f>
        <v>3.1007751937984496E-2</v>
      </c>
      <c r="T14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  <c r="V14" s="46"/>
      <c r="W14" s="46"/>
      <c r="X14" s="46"/>
      <c r="Y14" s="46"/>
      <c r="Z14" s="46"/>
      <c r="AA14" s="46"/>
      <c r="AB14" s="46"/>
    </row>
    <row r="15" spans="1:28" ht="12" customHeight="1">
      <c r="A15" t="s">
        <v>53</v>
      </c>
      <c r="B15" s="2">
        <v>46148</v>
      </c>
      <c r="C15" s="2">
        <v>46161</v>
      </c>
      <c r="D15" s="2">
        <v>46167</v>
      </c>
      <c r="E15" t="s">
        <v>34</v>
      </c>
      <c r="F15" t="s">
        <v>54</v>
      </c>
      <c r="G15" t="s">
        <v>55</v>
      </c>
      <c r="H15" s="3">
        <v>530</v>
      </c>
      <c r="I15" s="3">
        <v>518</v>
      </c>
      <c r="J15" s="3">
        <v>32</v>
      </c>
      <c r="K15" s="4">
        <v>2703.64</v>
      </c>
      <c r="L15" t="s">
        <v>28</v>
      </c>
      <c r="M15" s="6" t="str">
        <f>VLOOKUP(PurchaseOrdersTable[[#This Row],[Supplier Code]],SupplierMasterTable[[Supplier Code]:[Supplier Name]],2,)</f>
        <v>Eastline Components</v>
      </c>
      <c r="N15" s="6" t="str">
        <f>VLOOKUP(PurchaseOrdersTable[[#This Row],[Product Code]],ProductMasterTable[[Product Code]:[Product Name]],2,)</f>
        <v>Industrial Roller Bearing</v>
      </c>
      <c r="O15" s="6" t="str">
        <f>VLOOKUP(PurchaseOrdersTable[[#This Row],[Product Code]],ProductMasterTable[[#All],[Product Code]:[Category]],3,)</f>
        <v>Bearings and Mechanical</v>
      </c>
      <c r="P15" s="7">
        <f>PurchaseOrdersTable[[#This Row],[Qty Ordered]]*PurchaseOrdersTable[[#This Row],[Unit Price (₹)]]</f>
        <v>1432929.2</v>
      </c>
      <c r="Q15" s="8">
        <f>PurchaseOrdersTable[[#This Row],[Delivery Date]]-PurchaseOrdersTable[[#This Row],[Order Date]]</f>
        <v>19</v>
      </c>
      <c r="R15" s="8">
        <f>MAX(0, PurchaseOrdersTable[[#This Row],[Delivery Date]]-PurchaseOrdersTable[[#This Row],[Promised Date]])</f>
        <v>6</v>
      </c>
      <c r="S15" s="9">
        <f>PurchaseOrdersTable[[#This Row],[Rejected Qty]]/PurchaseOrdersTable[[#This Row],[Qty Received]]</f>
        <v>6.1776061776061778E-2</v>
      </c>
      <c r="T15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  <c r="V15" s="46"/>
      <c r="W15" s="46"/>
      <c r="X15" s="46"/>
      <c r="Y15" s="46"/>
      <c r="Z15" s="46"/>
      <c r="AA15" s="46"/>
      <c r="AB15" s="46"/>
    </row>
    <row r="16" spans="1:28" ht="12" customHeight="1">
      <c r="A16" t="s">
        <v>56</v>
      </c>
      <c r="B16" s="2">
        <v>46060</v>
      </c>
      <c r="C16" s="2">
        <v>46065</v>
      </c>
      <c r="D16" s="2">
        <v>46073</v>
      </c>
      <c r="E16" t="s">
        <v>38</v>
      </c>
      <c r="F16" t="s">
        <v>57</v>
      </c>
      <c r="G16" t="s">
        <v>58</v>
      </c>
      <c r="H16" s="3">
        <v>1450</v>
      </c>
      <c r="I16" s="3">
        <v>1427</v>
      </c>
      <c r="J16" s="3">
        <v>75</v>
      </c>
      <c r="K16" s="4">
        <v>278.2</v>
      </c>
      <c r="L16" t="s">
        <v>28</v>
      </c>
      <c r="M16" s="6" t="str">
        <f>VLOOKUP(PurchaseOrdersTable[[#This Row],[Supplier Code]],SupplierMasterTable[[Supplier Code]:[Supplier Name]],2,)</f>
        <v>Metro Industrial Mart</v>
      </c>
      <c r="N16" s="6" t="str">
        <f>VLOOKUP(PurchaseOrdersTable[[#This Row],[Product Code]],ProductMasterTable[[Product Code]:[Product Name]],2,)</f>
        <v>Safety Goggles</v>
      </c>
      <c r="O16" s="6" t="str">
        <f>VLOOKUP(PurchaseOrdersTable[[#This Row],[Product Code]],ProductMasterTable[[#All],[Product Code]:[Category]],3,)</f>
        <v>Safety and PPE</v>
      </c>
      <c r="P16" s="7">
        <f>PurchaseOrdersTable[[#This Row],[Qty Ordered]]*PurchaseOrdersTable[[#This Row],[Unit Price (₹)]]</f>
        <v>403390</v>
      </c>
      <c r="Q16" s="8">
        <f>PurchaseOrdersTable[[#This Row],[Delivery Date]]-PurchaseOrdersTable[[#This Row],[Order Date]]</f>
        <v>13</v>
      </c>
      <c r="R16" s="8">
        <f>MAX(0, PurchaseOrdersTable[[#This Row],[Delivery Date]]-PurchaseOrdersTable[[#This Row],[Promised Date]])</f>
        <v>8</v>
      </c>
      <c r="S16" s="9">
        <f>PurchaseOrdersTable[[#This Row],[Rejected Qty]]/PurchaseOrdersTable[[#This Row],[Qty Received]]</f>
        <v>5.2557813594954449E-2</v>
      </c>
      <c r="T16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  <c r="V16" s="46"/>
      <c r="W16" s="46"/>
      <c r="X16" s="46"/>
      <c r="Y16" s="46"/>
      <c r="Z16" s="46"/>
      <c r="AA16" s="46"/>
      <c r="AB16" s="46"/>
    </row>
    <row r="17" spans="1:28" ht="12" customHeight="1">
      <c r="A17" t="s">
        <v>59</v>
      </c>
      <c r="B17" s="2">
        <v>46100</v>
      </c>
      <c r="C17" s="2">
        <v>46111</v>
      </c>
      <c r="D17" s="2">
        <v>46114</v>
      </c>
      <c r="E17" t="s">
        <v>25</v>
      </c>
      <c r="F17" t="s">
        <v>31</v>
      </c>
      <c r="G17" t="s">
        <v>55</v>
      </c>
      <c r="H17" s="3">
        <v>330</v>
      </c>
      <c r="I17" s="3">
        <v>328</v>
      </c>
      <c r="J17" s="3">
        <v>2</v>
      </c>
      <c r="K17" s="4">
        <v>2905.05</v>
      </c>
      <c r="L17" t="s">
        <v>28</v>
      </c>
      <c r="M17" s="6" t="str">
        <f>VLOOKUP(PurchaseOrdersTable[[#This Row],[Supplier Code]],SupplierMasterTable[[Supplier Code]:[Supplier Name]],2,)</f>
        <v>National Bearings Company</v>
      </c>
      <c r="N17" s="6" t="str">
        <f>VLOOKUP(PurchaseOrdersTable[[#This Row],[Product Code]],ProductMasterTable[[Product Code]:[Product Name]],2,)</f>
        <v>Industrial Roller Bearing</v>
      </c>
      <c r="O17" s="6" t="str">
        <f>VLOOKUP(PurchaseOrdersTable[[#This Row],[Product Code]],ProductMasterTable[[#All],[Product Code]:[Category]],3,)</f>
        <v>Bearings and Mechanical</v>
      </c>
      <c r="P17" s="7">
        <f>PurchaseOrdersTable[[#This Row],[Qty Ordered]]*PurchaseOrdersTable[[#This Row],[Unit Price (₹)]]</f>
        <v>958666.50000000012</v>
      </c>
      <c r="Q17" s="8">
        <f>PurchaseOrdersTable[[#This Row],[Delivery Date]]-PurchaseOrdersTable[[#This Row],[Order Date]]</f>
        <v>14</v>
      </c>
      <c r="R17" s="8">
        <f>MAX(0, PurchaseOrdersTable[[#This Row],[Delivery Date]]-PurchaseOrdersTable[[#This Row],[Promised Date]])</f>
        <v>3</v>
      </c>
      <c r="S17" s="9">
        <f>PurchaseOrdersTable[[#This Row],[Rejected Qty]]/PurchaseOrdersTable[[#This Row],[Qty Received]]</f>
        <v>6.0975609756097563E-3</v>
      </c>
      <c r="T17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  <c r="V17" s="46"/>
      <c r="W17" s="46"/>
      <c r="X17" s="46"/>
      <c r="Y17" s="46"/>
      <c r="Z17" s="46"/>
      <c r="AA17" s="46"/>
      <c r="AB17" s="46"/>
    </row>
    <row r="18" spans="1:28" ht="12" customHeight="1">
      <c r="A18" t="s">
        <v>60</v>
      </c>
      <c r="B18" s="2">
        <v>46132</v>
      </c>
      <c r="C18" s="2">
        <v>46139</v>
      </c>
      <c r="D18" s="2">
        <v>46144</v>
      </c>
      <c r="E18" t="s">
        <v>30</v>
      </c>
      <c r="F18" t="s">
        <v>26</v>
      </c>
      <c r="G18" t="s">
        <v>55</v>
      </c>
      <c r="H18" s="3">
        <v>190</v>
      </c>
      <c r="I18" s="3">
        <v>189</v>
      </c>
      <c r="J18" s="3">
        <v>4</v>
      </c>
      <c r="K18" s="4">
        <v>2946.33</v>
      </c>
      <c r="L18" t="s">
        <v>61</v>
      </c>
      <c r="M18" s="6" t="str">
        <f>VLOOKUP(PurchaseOrdersTable[[#This Row],[Supplier Code]],SupplierMasterTable[[Supplier Code]:[Supplier Name]],2,)</f>
        <v>ProServe MRO Solutions</v>
      </c>
      <c r="N18" s="6" t="str">
        <f>VLOOKUP(PurchaseOrdersTable[[#This Row],[Product Code]],ProductMasterTable[[Product Code]:[Product Name]],2,)</f>
        <v>Industrial Roller Bearing</v>
      </c>
      <c r="O18" s="6" t="str">
        <f>VLOOKUP(PurchaseOrdersTable[[#This Row],[Product Code]],ProductMasterTable[[#All],[Product Code]:[Category]],3,)</f>
        <v>Bearings and Mechanical</v>
      </c>
      <c r="P18" s="7">
        <f>PurchaseOrdersTable[[#This Row],[Qty Ordered]]*PurchaseOrdersTable[[#This Row],[Unit Price (₹)]]</f>
        <v>559802.69999999995</v>
      </c>
      <c r="Q18" s="8">
        <f>PurchaseOrdersTable[[#This Row],[Delivery Date]]-PurchaseOrdersTable[[#This Row],[Order Date]]</f>
        <v>12</v>
      </c>
      <c r="R18" s="8">
        <f>MAX(0, PurchaseOrdersTable[[#This Row],[Delivery Date]]-PurchaseOrdersTable[[#This Row],[Promised Date]])</f>
        <v>5</v>
      </c>
      <c r="S18" s="9">
        <f>PurchaseOrdersTable[[#This Row],[Rejected Qty]]/PurchaseOrdersTable[[#This Row],[Qty Received]]</f>
        <v>2.1164021164021163E-2</v>
      </c>
      <c r="T18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  <c r="V18" s="46"/>
      <c r="W18" s="46"/>
      <c r="X18" s="46"/>
      <c r="Y18" s="46"/>
      <c r="Z18" s="46"/>
      <c r="AA18" s="46"/>
      <c r="AB18" s="46"/>
    </row>
    <row r="19" spans="1:28" ht="12" customHeight="1">
      <c r="A19" t="s">
        <v>62</v>
      </c>
      <c r="B19" s="2">
        <v>46171</v>
      </c>
      <c r="C19" s="2">
        <v>46180</v>
      </c>
      <c r="D19" s="2">
        <v>46183</v>
      </c>
      <c r="E19" t="s">
        <v>34</v>
      </c>
      <c r="F19" t="s">
        <v>26</v>
      </c>
      <c r="G19" t="s">
        <v>36</v>
      </c>
      <c r="H19" s="3">
        <v>660</v>
      </c>
      <c r="I19" s="3">
        <v>650</v>
      </c>
      <c r="J19" s="3">
        <v>11</v>
      </c>
      <c r="K19" s="4">
        <v>2085.0700000000002</v>
      </c>
      <c r="L19" t="s">
        <v>28</v>
      </c>
      <c r="M19" s="6" t="str">
        <f>VLOOKUP(PurchaseOrdersTable[[#This Row],[Supplier Code]],SupplierMasterTable[[Supplier Code]:[Supplier Name]],2,)</f>
        <v>ProServe MRO Solutions</v>
      </c>
      <c r="N19" s="6" t="str">
        <f>VLOOKUP(PurchaseOrdersTable[[#This Row],[Product Code]],ProductMasterTable[[Product Code]:[Product Name]],2,)</f>
        <v>Three-Phase Contactor</v>
      </c>
      <c r="O19" s="6" t="str">
        <f>VLOOKUP(PurchaseOrdersTable[[#This Row],[Product Code]],ProductMasterTable[[#All],[Product Code]:[Category]],3,)</f>
        <v>Electricals</v>
      </c>
      <c r="P19" s="7">
        <f>PurchaseOrdersTable[[#This Row],[Qty Ordered]]*PurchaseOrdersTable[[#This Row],[Unit Price (₹)]]</f>
        <v>1376146.2000000002</v>
      </c>
      <c r="Q19" s="8">
        <f>PurchaseOrdersTable[[#This Row],[Delivery Date]]-PurchaseOrdersTable[[#This Row],[Order Date]]</f>
        <v>12</v>
      </c>
      <c r="R19" s="8">
        <f>MAX(0, PurchaseOrdersTable[[#This Row],[Delivery Date]]-PurchaseOrdersTable[[#This Row],[Promised Date]])</f>
        <v>3</v>
      </c>
      <c r="S19" s="9">
        <f>PurchaseOrdersTable[[#This Row],[Rejected Qty]]/PurchaseOrdersTable[[#This Row],[Qty Received]]</f>
        <v>1.6923076923076923E-2</v>
      </c>
      <c r="T19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  <c r="V19" s="46"/>
      <c r="W19" s="46"/>
      <c r="X19" s="46"/>
      <c r="Y19" s="46"/>
      <c r="Z19" s="46"/>
      <c r="AA19" s="46"/>
      <c r="AB19" s="46"/>
    </row>
    <row r="20" spans="1:28" ht="12.5" customHeight="1">
      <c r="A20" t="s">
        <v>63</v>
      </c>
      <c r="B20" s="2">
        <v>46102</v>
      </c>
      <c r="C20" s="2">
        <v>46109</v>
      </c>
      <c r="D20" s="2">
        <v>46114</v>
      </c>
      <c r="E20" t="s">
        <v>38</v>
      </c>
      <c r="F20" t="s">
        <v>26</v>
      </c>
      <c r="G20" t="s">
        <v>64</v>
      </c>
      <c r="H20" s="3">
        <v>500</v>
      </c>
      <c r="I20" s="3">
        <v>498</v>
      </c>
      <c r="J20" s="3">
        <v>10</v>
      </c>
      <c r="K20" s="4">
        <v>1216.8699999999999</v>
      </c>
      <c r="L20" t="s">
        <v>61</v>
      </c>
      <c r="M20" s="6" t="str">
        <f>VLOOKUP(PurchaseOrdersTable[[#This Row],[Supplier Code]],SupplierMasterTable[[Supplier Code]:[Supplier Name]],2,)</f>
        <v>ProServe MRO Solutions</v>
      </c>
      <c r="N20" s="6" t="str">
        <f>VLOOKUP(PurchaseOrdersTable[[#This Row],[Product Code]],ProductMasterTable[[Product Code]:[Product Name]],2,)</f>
        <v>Deep-Groove Ball Bearing</v>
      </c>
      <c r="O20" s="6" t="str">
        <f>VLOOKUP(PurchaseOrdersTable[[#This Row],[Product Code]],ProductMasterTable[[#All],[Product Code]:[Category]],3,)</f>
        <v>Bearings and Mechanical</v>
      </c>
      <c r="P20" s="7">
        <f>PurchaseOrdersTable[[#This Row],[Qty Ordered]]*PurchaseOrdersTable[[#This Row],[Unit Price (₹)]]</f>
        <v>608435</v>
      </c>
      <c r="Q20" s="8">
        <f>PurchaseOrdersTable[[#This Row],[Delivery Date]]-PurchaseOrdersTable[[#This Row],[Order Date]]</f>
        <v>12</v>
      </c>
      <c r="R20" s="8">
        <f>MAX(0, PurchaseOrdersTable[[#This Row],[Delivery Date]]-PurchaseOrdersTable[[#This Row],[Promised Date]])</f>
        <v>5</v>
      </c>
      <c r="S20" s="9">
        <f>PurchaseOrdersTable[[#This Row],[Rejected Qty]]/PurchaseOrdersTable[[#This Row],[Qty Received]]</f>
        <v>2.0080321285140562E-2</v>
      </c>
      <c r="T20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  <c r="V20" s="46"/>
      <c r="W20" s="46"/>
      <c r="X20" s="46"/>
      <c r="Y20" s="46"/>
      <c r="Z20" s="46"/>
      <c r="AA20" s="46"/>
      <c r="AB20" s="46"/>
    </row>
    <row r="21" spans="1:28" ht="12" customHeight="1">
      <c r="A21" t="s">
        <v>65</v>
      </c>
      <c r="B21" s="2">
        <v>46109</v>
      </c>
      <c r="C21" s="2">
        <v>46118</v>
      </c>
      <c r="D21" s="2">
        <v>46123</v>
      </c>
      <c r="E21" t="s">
        <v>25</v>
      </c>
      <c r="F21" t="s">
        <v>31</v>
      </c>
      <c r="G21" t="s">
        <v>55</v>
      </c>
      <c r="H21" s="3">
        <v>470</v>
      </c>
      <c r="I21" s="3">
        <v>466</v>
      </c>
      <c r="J21" s="3">
        <v>5</v>
      </c>
      <c r="K21" s="4">
        <v>3085.45</v>
      </c>
      <c r="L21" t="s">
        <v>61</v>
      </c>
      <c r="M21" s="6" t="str">
        <f>VLOOKUP(PurchaseOrdersTable[[#This Row],[Supplier Code]],SupplierMasterTable[[Supplier Code]:[Supplier Name]],2,)</f>
        <v>National Bearings Company</v>
      </c>
      <c r="N21" s="6" t="str">
        <f>VLOOKUP(PurchaseOrdersTable[[#This Row],[Product Code]],ProductMasterTable[[Product Code]:[Product Name]],2,)</f>
        <v>Industrial Roller Bearing</v>
      </c>
      <c r="O21" s="6" t="str">
        <f>VLOOKUP(PurchaseOrdersTable[[#This Row],[Product Code]],ProductMasterTable[[#All],[Product Code]:[Category]],3,)</f>
        <v>Bearings and Mechanical</v>
      </c>
      <c r="P21" s="7">
        <f>PurchaseOrdersTable[[#This Row],[Qty Ordered]]*PurchaseOrdersTable[[#This Row],[Unit Price (₹)]]</f>
        <v>1450161.5</v>
      </c>
      <c r="Q21" s="8">
        <f>PurchaseOrdersTable[[#This Row],[Delivery Date]]-PurchaseOrdersTable[[#This Row],[Order Date]]</f>
        <v>14</v>
      </c>
      <c r="R21" s="8">
        <f>MAX(0, PurchaseOrdersTable[[#This Row],[Delivery Date]]-PurchaseOrdersTable[[#This Row],[Promised Date]])</f>
        <v>5</v>
      </c>
      <c r="S21" s="9">
        <f>PurchaseOrdersTable[[#This Row],[Rejected Qty]]/PurchaseOrdersTable[[#This Row],[Qty Received]]</f>
        <v>1.0729613733905579E-2</v>
      </c>
      <c r="T21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22" spans="1:28" ht="12" customHeight="1">
      <c r="A22" t="s">
        <v>66</v>
      </c>
      <c r="B22" s="2">
        <v>46163</v>
      </c>
      <c r="C22" s="2">
        <v>46173</v>
      </c>
      <c r="D22" s="2">
        <v>46172</v>
      </c>
      <c r="E22" t="s">
        <v>30</v>
      </c>
      <c r="F22" t="s">
        <v>39</v>
      </c>
      <c r="G22" t="s">
        <v>27</v>
      </c>
      <c r="H22" s="3">
        <v>1650</v>
      </c>
      <c r="I22" s="3">
        <v>1639</v>
      </c>
      <c r="J22" s="3">
        <v>52</v>
      </c>
      <c r="K22" s="4">
        <v>508.65</v>
      </c>
      <c r="L22" t="s">
        <v>28</v>
      </c>
      <c r="M22" s="6" t="str">
        <f>VLOOKUP(PurchaseOrdersTable[[#This Row],[Supplier Code]],SupplierMasterTable[[Supplier Code]:[Supplier Name]],2,)</f>
        <v>Bharat Industrial Supplies</v>
      </c>
      <c r="N22" s="6" t="str">
        <f>VLOOKUP(PurchaseOrdersTable[[#This Row],[Product Code]],ProductMasterTable[[Product Code]:[Product Name]],2,)</f>
        <v>Reflective Safety Jacket</v>
      </c>
      <c r="O22" s="6" t="str">
        <f>VLOOKUP(PurchaseOrdersTable[[#This Row],[Product Code]],ProductMasterTable[[#All],[Product Code]:[Category]],3,)</f>
        <v>Safety and PPE</v>
      </c>
      <c r="P22" s="7">
        <f>PurchaseOrdersTable[[#This Row],[Qty Ordered]]*PurchaseOrdersTable[[#This Row],[Unit Price (₹)]]</f>
        <v>839272.5</v>
      </c>
      <c r="Q22" s="8">
        <f>PurchaseOrdersTable[[#This Row],[Delivery Date]]-PurchaseOrdersTable[[#This Row],[Order Date]]</f>
        <v>9</v>
      </c>
      <c r="R22" s="8">
        <f>MAX(0, PurchaseOrdersTable[[#This Row],[Delivery Date]]-PurchaseOrdersTable[[#This Row],[Promised Date]])</f>
        <v>0</v>
      </c>
      <c r="S22" s="9">
        <f>PurchaseOrdersTable[[#This Row],[Rejected Qty]]/PurchaseOrdersTable[[#This Row],[Qty Received]]</f>
        <v>3.1726662599145819E-2</v>
      </c>
      <c r="T22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23" spans="1:28" ht="12" customHeight="1">
      <c r="A23" t="s">
        <v>67</v>
      </c>
      <c r="B23" s="2">
        <v>46054</v>
      </c>
      <c r="C23" s="2">
        <v>46063</v>
      </c>
      <c r="D23" s="2">
        <v>46066</v>
      </c>
      <c r="E23" t="s">
        <v>34</v>
      </c>
      <c r="F23" t="s">
        <v>26</v>
      </c>
      <c r="G23" t="s">
        <v>32</v>
      </c>
      <c r="H23" s="3">
        <v>220</v>
      </c>
      <c r="I23" s="3">
        <v>217</v>
      </c>
      <c r="J23" s="3">
        <v>5</v>
      </c>
      <c r="K23" s="4">
        <v>1362.67</v>
      </c>
      <c r="L23" t="s">
        <v>28</v>
      </c>
      <c r="M23" s="6" t="str">
        <f>VLOOKUP(PurchaseOrdersTable[[#This Row],[Supplier Code]],SupplierMasterTable[[Supplier Code]:[Supplier Name]],2,)</f>
        <v>ProServe MRO Solutions</v>
      </c>
      <c r="N23" s="6" t="str">
        <f>VLOOKUP(PurchaseOrdersTable[[#This Row],[Product Code]],ProductMasterTable[[Product Code]:[Product Name]],2,)</f>
        <v>Heavy-Duty Industrial Belt</v>
      </c>
      <c r="O23" s="6" t="str">
        <f>VLOOKUP(PurchaseOrdersTable[[#This Row],[Product Code]],ProductMasterTable[[#All],[Product Code]:[Category]],3,)</f>
        <v>Bearings and Mechanical</v>
      </c>
      <c r="P23" s="7">
        <f>PurchaseOrdersTable[[#This Row],[Qty Ordered]]*PurchaseOrdersTable[[#This Row],[Unit Price (₹)]]</f>
        <v>299787.40000000002</v>
      </c>
      <c r="Q23" s="8">
        <f>PurchaseOrdersTable[[#This Row],[Delivery Date]]-PurchaseOrdersTable[[#This Row],[Order Date]]</f>
        <v>12</v>
      </c>
      <c r="R23" s="8">
        <f>MAX(0, PurchaseOrdersTable[[#This Row],[Delivery Date]]-PurchaseOrdersTable[[#This Row],[Promised Date]])</f>
        <v>3</v>
      </c>
      <c r="S23" s="9">
        <f>PurchaseOrdersTable[[#This Row],[Rejected Qty]]/PurchaseOrdersTable[[#This Row],[Qty Received]]</f>
        <v>2.3041474654377881E-2</v>
      </c>
      <c r="T23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24" spans="1:28" ht="12" customHeight="1">
      <c r="A24" t="s">
        <v>68</v>
      </c>
      <c r="B24" s="2">
        <v>46041</v>
      </c>
      <c r="C24" s="2">
        <v>46050</v>
      </c>
      <c r="D24" s="2">
        <v>46053</v>
      </c>
      <c r="E24" t="s">
        <v>38</v>
      </c>
      <c r="F24" t="s">
        <v>69</v>
      </c>
      <c r="G24" t="s">
        <v>70</v>
      </c>
      <c r="H24" s="3">
        <v>480</v>
      </c>
      <c r="I24" s="3">
        <v>471</v>
      </c>
      <c r="J24" s="3">
        <v>4</v>
      </c>
      <c r="K24" s="4">
        <v>4189.04</v>
      </c>
      <c r="L24" t="s">
        <v>28</v>
      </c>
      <c r="M24" s="6" t="str">
        <f>VLOOKUP(PurchaseOrdersTable[[#This Row],[Supplier Code]],SupplierMasterTable[[Supplier Code]:[Supplier Name]],2,)</f>
        <v>Vertex Electricals</v>
      </c>
      <c r="N24" s="6" t="str">
        <f>VLOOKUP(PurchaseOrdersTable[[#This Row],[Product Code]],ProductMasterTable[[Product Code]:[Product Name]],2,)</f>
        <v>Copper Cable Roll - 100 m</v>
      </c>
      <c r="O24" s="6" t="str">
        <f>VLOOKUP(PurchaseOrdersTable[[#This Row],[Product Code]],ProductMasterTable[[#All],[Product Code]:[Category]],3,)</f>
        <v>Electricals</v>
      </c>
      <c r="P24" s="7">
        <f>PurchaseOrdersTable[[#This Row],[Qty Ordered]]*PurchaseOrdersTable[[#This Row],[Unit Price (₹)]]</f>
        <v>2010739.2</v>
      </c>
      <c r="Q24" s="8">
        <f>PurchaseOrdersTable[[#This Row],[Delivery Date]]-PurchaseOrdersTable[[#This Row],[Order Date]]</f>
        <v>12</v>
      </c>
      <c r="R24" s="8">
        <f>MAX(0, PurchaseOrdersTable[[#This Row],[Delivery Date]]-PurchaseOrdersTable[[#This Row],[Promised Date]])</f>
        <v>3</v>
      </c>
      <c r="S24" s="9">
        <f>PurchaseOrdersTable[[#This Row],[Rejected Qty]]/PurchaseOrdersTable[[#This Row],[Qty Received]]</f>
        <v>8.4925690021231421E-3</v>
      </c>
      <c r="T24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25" spans="1:28" ht="12" customHeight="1">
      <c r="A25" t="s">
        <v>71</v>
      </c>
      <c r="B25" s="2">
        <v>46094</v>
      </c>
      <c r="C25" s="2">
        <v>46103</v>
      </c>
      <c r="D25" s="2">
        <v>46106</v>
      </c>
      <c r="E25" t="s">
        <v>25</v>
      </c>
      <c r="F25" t="s">
        <v>72</v>
      </c>
      <c r="G25" t="s">
        <v>58</v>
      </c>
      <c r="H25" s="3">
        <v>2500</v>
      </c>
      <c r="I25" s="3">
        <v>2466</v>
      </c>
      <c r="J25" s="3">
        <v>1</v>
      </c>
      <c r="K25" s="4">
        <v>303.87</v>
      </c>
      <c r="L25" t="s">
        <v>28</v>
      </c>
      <c r="M25" s="6" t="str">
        <f>VLOOKUP(PurchaseOrdersTable[[#This Row],[Supplier Code]],SupplierMasterTable[[Supplier Code]:[Supplier Name]],2,)</f>
        <v>SecureTech Safety Solutions</v>
      </c>
      <c r="N25" s="6" t="str">
        <f>VLOOKUP(PurchaseOrdersTable[[#This Row],[Product Code]],ProductMasterTable[[Product Code]:[Product Name]],2,)</f>
        <v>Safety Goggles</v>
      </c>
      <c r="O25" s="6" t="str">
        <f>VLOOKUP(PurchaseOrdersTable[[#This Row],[Product Code]],ProductMasterTable[[#All],[Product Code]:[Category]],3,)</f>
        <v>Safety and PPE</v>
      </c>
      <c r="P25" s="7">
        <f>PurchaseOrdersTable[[#This Row],[Qty Ordered]]*PurchaseOrdersTable[[#This Row],[Unit Price (₹)]]</f>
        <v>759675</v>
      </c>
      <c r="Q25" s="8">
        <f>PurchaseOrdersTable[[#This Row],[Delivery Date]]-PurchaseOrdersTable[[#This Row],[Order Date]]</f>
        <v>12</v>
      </c>
      <c r="R25" s="8">
        <f>MAX(0, PurchaseOrdersTable[[#This Row],[Delivery Date]]-PurchaseOrdersTable[[#This Row],[Promised Date]])</f>
        <v>3</v>
      </c>
      <c r="S25" s="9">
        <f>PurchaseOrdersTable[[#This Row],[Rejected Qty]]/PurchaseOrdersTable[[#This Row],[Qty Received]]</f>
        <v>4.0551500405515005E-4</v>
      </c>
      <c r="T25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26" spans="1:28" ht="12" customHeight="1">
      <c r="A26" t="s">
        <v>73</v>
      </c>
      <c r="B26" s="2">
        <v>46090</v>
      </c>
      <c r="C26" s="2">
        <v>46095</v>
      </c>
      <c r="D26" s="2">
        <v>46098</v>
      </c>
      <c r="E26" t="s">
        <v>30</v>
      </c>
      <c r="F26" t="s">
        <v>57</v>
      </c>
      <c r="G26" t="s">
        <v>43</v>
      </c>
      <c r="H26" s="3">
        <v>2250</v>
      </c>
      <c r="I26" s="3">
        <v>2216</v>
      </c>
      <c r="J26" s="3">
        <v>196</v>
      </c>
      <c r="K26" s="4">
        <v>708.65</v>
      </c>
      <c r="L26" t="s">
        <v>28</v>
      </c>
      <c r="M26" s="6" t="str">
        <f>VLOOKUP(PurchaseOrdersTable[[#This Row],[Supplier Code]],SupplierMasterTable[[Supplier Code]:[Supplier Name]],2,)</f>
        <v>Metro Industrial Mart</v>
      </c>
      <c r="N26" s="6" t="str">
        <f>VLOOKUP(PurchaseOrdersTable[[#This Row],[Product Code]],ProductMasterTable[[Product Code]:[Product Name]],2,)</f>
        <v>Nitrile Gloves - Box of 100</v>
      </c>
      <c r="O26" s="6" t="str">
        <f>VLOOKUP(PurchaseOrdersTable[[#This Row],[Product Code]],ProductMasterTable[[#All],[Product Code]:[Category]],3,)</f>
        <v>Safety and PPE</v>
      </c>
      <c r="P26" s="7">
        <f>PurchaseOrdersTable[[#This Row],[Qty Ordered]]*PurchaseOrdersTable[[#This Row],[Unit Price (₹)]]</f>
        <v>1594462.5</v>
      </c>
      <c r="Q26" s="8">
        <f>PurchaseOrdersTable[[#This Row],[Delivery Date]]-PurchaseOrdersTable[[#This Row],[Order Date]]</f>
        <v>8</v>
      </c>
      <c r="R26" s="8">
        <f>MAX(0, PurchaseOrdersTable[[#This Row],[Delivery Date]]-PurchaseOrdersTable[[#This Row],[Promised Date]])</f>
        <v>3</v>
      </c>
      <c r="S26" s="9">
        <f>PurchaseOrdersTable[[#This Row],[Rejected Qty]]/PurchaseOrdersTable[[#This Row],[Qty Received]]</f>
        <v>8.8447653429602882E-2</v>
      </c>
      <c r="T26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27" spans="1:28" ht="12" customHeight="1">
      <c r="A27" t="s">
        <v>74</v>
      </c>
      <c r="B27" s="2">
        <v>46103</v>
      </c>
      <c r="C27" s="2">
        <v>46112</v>
      </c>
      <c r="D27" s="2">
        <v>46114</v>
      </c>
      <c r="E27" t="s">
        <v>34</v>
      </c>
      <c r="F27" t="s">
        <v>26</v>
      </c>
      <c r="G27" t="s">
        <v>75</v>
      </c>
      <c r="H27" s="3">
        <v>500</v>
      </c>
      <c r="I27" s="3">
        <v>498</v>
      </c>
      <c r="J27" s="3">
        <v>8</v>
      </c>
      <c r="K27" s="4">
        <v>581.37</v>
      </c>
      <c r="L27" t="s">
        <v>28</v>
      </c>
      <c r="M27" s="6" t="str">
        <f>VLOOKUP(PurchaseOrdersTable[[#This Row],[Supplier Code]],SupplierMasterTable[[Supplier Code]:[Supplier Name]],2,)</f>
        <v>ProServe MRO Solutions</v>
      </c>
      <c r="N27" s="6" t="str">
        <f>VLOOKUP(PurchaseOrdersTable[[#This Row],[Product Code]],ProductMasterTable[[Product Code]:[Product Name]],2,)</f>
        <v>Miniature Circuit Breaker 32A</v>
      </c>
      <c r="O27" s="6" t="str">
        <f>VLOOKUP(PurchaseOrdersTable[[#This Row],[Product Code]],ProductMasterTable[[#All],[Product Code]:[Category]],3,)</f>
        <v>Electricals</v>
      </c>
      <c r="P27" s="7">
        <f>PurchaseOrdersTable[[#This Row],[Qty Ordered]]*PurchaseOrdersTable[[#This Row],[Unit Price (₹)]]</f>
        <v>290685</v>
      </c>
      <c r="Q27" s="8">
        <f>PurchaseOrdersTable[[#This Row],[Delivery Date]]-PurchaseOrdersTable[[#This Row],[Order Date]]</f>
        <v>11</v>
      </c>
      <c r="R27" s="8">
        <f>MAX(0, PurchaseOrdersTable[[#This Row],[Delivery Date]]-PurchaseOrdersTable[[#This Row],[Promised Date]])</f>
        <v>2</v>
      </c>
      <c r="S27" s="9">
        <f>PurchaseOrdersTable[[#This Row],[Rejected Qty]]/PurchaseOrdersTable[[#This Row],[Qty Received]]</f>
        <v>1.6064257028112448E-2</v>
      </c>
      <c r="T27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28" spans="1:28" ht="12" customHeight="1">
      <c r="A28" t="s">
        <v>76</v>
      </c>
      <c r="B28" s="2">
        <v>46055</v>
      </c>
      <c r="C28" s="2">
        <v>46064</v>
      </c>
      <c r="D28" s="2">
        <v>46068</v>
      </c>
      <c r="E28" t="s">
        <v>38</v>
      </c>
      <c r="F28" t="s">
        <v>31</v>
      </c>
      <c r="G28" t="s">
        <v>32</v>
      </c>
      <c r="H28" s="3">
        <v>450</v>
      </c>
      <c r="I28" s="3">
        <v>450</v>
      </c>
      <c r="J28" s="3">
        <v>10</v>
      </c>
      <c r="K28" s="4">
        <v>1477.94</v>
      </c>
      <c r="L28" t="s">
        <v>61</v>
      </c>
      <c r="M28" s="6" t="str">
        <f>VLOOKUP(PurchaseOrdersTable[[#This Row],[Supplier Code]],SupplierMasterTable[[Supplier Code]:[Supplier Name]],2,)</f>
        <v>National Bearings Company</v>
      </c>
      <c r="N28" s="6" t="str">
        <f>VLOOKUP(PurchaseOrdersTable[[#This Row],[Product Code]],ProductMasterTable[[Product Code]:[Product Name]],2,)</f>
        <v>Heavy-Duty Industrial Belt</v>
      </c>
      <c r="O28" s="6" t="str">
        <f>VLOOKUP(PurchaseOrdersTable[[#This Row],[Product Code]],ProductMasterTable[[#All],[Product Code]:[Category]],3,)</f>
        <v>Bearings and Mechanical</v>
      </c>
      <c r="P28" s="7">
        <f>PurchaseOrdersTable[[#This Row],[Qty Ordered]]*PurchaseOrdersTable[[#This Row],[Unit Price (₹)]]</f>
        <v>665073</v>
      </c>
      <c r="Q28" s="8">
        <f>PurchaseOrdersTable[[#This Row],[Delivery Date]]-PurchaseOrdersTable[[#This Row],[Order Date]]</f>
        <v>13</v>
      </c>
      <c r="R28" s="8">
        <f>MAX(0, PurchaseOrdersTable[[#This Row],[Delivery Date]]-PurchaseOrdersTable[[#This Row],[Promised Date]])</f>
        <v>4</v>
      </c>
      <c r="S28" s="9">
        <f>PurchaseOrdersTable[[#This Row],[Rejected Qty]]/PurchaseOrdersTable[[#This Row],[Qty Received]]</f>
        <v>2.2222222222222223E-2</v>
      </c>
      <c r="T28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29" spans="1:28" ht="12" customHeight="1">
      <c r="A29" t="s">
        <v>77</v>
      </c>
      <c r="B29" s="2">
        <v>46060</v>
      </c>
      <c r="C29" s="2">
        <v>46070</v>
      </c>
      <c r="D29" s="2">
        <v>46073</v>
      </c>
      <c r="E29" t="s">
        <v>25</v>
      </c>
      <c r="F29" t="s">
        <v>39</v>
      </c>
      <c r="G29" t="s">
        <v>43</v>
      </c>
      <c r="H29" s="3">
        <v>1350</v>
      </c>
      <c r="I29" s="3">
        <v>1350</v>
      </c>
      <c r="J29" s="3">
        <v>38</v>
      </c>
      <c r="K29" s="4">
        <v>706.41</v>
      </c>
      <c r="L29" t="s">
        <v>28</v>
      </c>
      <c r="M29" s="6" t="str">
        <f>VLOOKUP(PurchaseOrdersTable[[#This Row],[Supplier Code]],SupplierMasterTable[[Supplier Code]:[Supplier Name]],2,)</f>
        <v>Bharat Industrial Supplies</v>
      </c>
      <c r="N29" s="6" t="str">
        <f>VLOOKUP(PurchaseOrdersTable[[#This Row],[Product Code]],ProductMasterTable[[Product Code]:[Product Name]],2,)</f>
        <v>Nitrile Gloves - Box of 100</v>
      </c>
      <c r="O29" s="6" t="str">
        <f>VLOOKUP(PurchaseOrdersTable[[#This Row],[Product Code]],ProductMasterTable[[#All],[Product Code]:[Category]],3,)</f>
        <v>Safety and PPE</v>
      </c>
      <c r="P29" s="7">
        <f>PurchaseOrdersTable[[#This Row],[Qty Ordered]]*PurchaseOrdersTable[[#This Row],[Unit Price (₹)]]</f>
        <v>953653.5</v>
      </c>
      <c r="Q29" s="8">
        <f>PurchaseOrdersTable[[#This Row],[Delivery Date]]-PurchaseOrdersTable[[#This Row],[Order Date]]</f>
        <v>13</v>
      </c>
      <c r="R29" s="8">
        <f>MAX(0, PurchaseOrdersTable[[#This Row],[Delivery Date]]-PurchaseOrdersTable[[#This Row],[Promised Date]])</f>
        <v>3</v>
      </c>
      <c r="S29" s="9">
        <f>PurchaseOrdersTable[[#This Row],[Rejected Qty]]/PurchaseOrdersTable[[#This Row],[Qty Received]]</f>
        <v>2.8148148148148148E-2</v>
      </c>
      <c r="T29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30" spans="1:28" ht="12" customHeight="1">
      <c r="A30" t="s">
        <v>78</v>
      </c>
      <c r="B30" s="2">
        <v>46165</v>
      </c>
      <c r="C30" s="2">
        <v>46174</v>
      </c>
      <c r="D30" s="2">
        <v>46175</v>
      </c>
      <c r="E30" t="s">
        <v>30</v>
      </c>
      <c r="F30" t="s">
        <v>69</v>
      </c>
      <c r="G30" t="s">
        <v>75</v>
      </c>
      <c r="H30" s="3">
        <v>700</v>
      </c>
      <c r="I30" s="3">
        <v>700</v>
      </c>
      <c r="J30" s="3">
        <v>13</v>
      </c>
      <c r="K30" s="4">
        <v>608.45000000000005</v>
      </c>
      <c r="L30" t="s">
        <v>28</v>
      </c>
      <c r="M30" s="6" t="str">
        <f>VLOOKUP(PurchaseOrdersTable[[#This Row],[Supplier Code]],SupplierMasterTable[[Supplier Code]:[Supplier Name]],2,)</f>
        <v>Vertex Electricals</v>
      </c>
      <c r="N30" s="6" t="str">
        <f>VLOOKUP(PurchaseOrdersTable[[#This Row],[Product Code]],ProductMasterTable[[Product Code]:[Product Name]],2,)</f>
        <v>Miniature Circuit Breaker 32A</v>
      </c>
      <c r="O30" s="6" t="str">
        <f>VLOOKUP(PurchaseOrdersTable[[#This Row],[Product Code]],ProductMasterTable[[#All],[Product Code]:[Category]],3,)</f>
        <v>Electricals</v>
      </c>
      <c r="P30" s="7">
        <f>PurchaseOrdersTable[[#This Row],[Qty Ordered]]*PurchaseOrdersTable[[#This Row],[Unit Price (₹)]]</f>
        <v>425915.00000000006</v>
      </c>
      <c r="Q30" s="8">
        <f>PurchaseOrdersTable[[#This Row],[Delivery Date]]-PurchaseOrdersTable[[#This Row],[Order Date]]</f>
        <v>10</v>
      </c>
      <c r="R30" s="8">
        <f>MAX(0, PurchaseOrdersTable[[#This Row],[Delivery Date]]-PurchaseOrdersTable[[#This Row],[Promised Date]])</f>
        <v>1</v>
      </c>
      <c r="S30" s="9">
        <f>PurchaseOrdersTable[[#This Row],[Rejected Qty]]/PurchaseOrdersTable[[#This Row],[Qty Received]]</f>
        <v>1.8571428571428572E-2</v>
      </c>
      <c r="T30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31" spans="1:28" ht="12" customHeight="1">
      <c r="A31" t="s">
        <v>79</v>
      </c>
      <c r="B31" s="2">
        <v>46139</v>
      </c>
      <c r="C31" s="2">
        <v>46148</v>
      </c>
      <c r="D31" s="2">
        <v>46153</v>
      </c>
      <c r="E31" t="s">
        <v>34</v>
      </c>
      <c r="F31" t="s">
        <v>26</v>
      </c>
      <c r="G31" t="s">
        <v>48</v>
      </c>
      <c r="H31" s="3">
        <v>30</v>
      </c>
      <c r="I31" s="3">
        <v>30</v>
      </c>
      <c r="J31" s="3">
        <v>1</v>
      </c>
      <c r="K31" s="4">
        <v>4735.3900000000003</v>
      </c>
      <c r="L31" t="s">
        <v>28</v>
      </c>
      <c r="M31" s="6" t="str">
        <f>VLOOKUP(PurchaseOrdersTable[[#This Row],[Supplier Code]],SupplierMasterTable[[Supplier Code]:[Supplier Name]],2,)</f>
        <v>ProServe MRO Solutions</v>
      </c>
      <c r="N31" s="6" t="str">
        <f>VLOOKUP(PurchaseOrdersTable[[#This Row],[Product Code]],ProductMasterTable[[Product Code]:[Product Name]],2,)</f>
        <v>Industrial Torque Wrench</v>
      </c>
      <c r="O31" s="6" t="str">
        <f>VLOOKUP(PurchaseOrdersTable[[#This Row],[Product Code]],ProductMasterTable[[#All],[Product Code]:[Category]],3,)</f>
        <v>Hand Tools</v>
      </c>
      <c r="P31" s="7">
        <f>PurchaseOrdersTable[[#This Row],[Qty Ordered]]*PurchaseOrdersTable[[#This Row],[Unit Price (₹)]]</f>
        <v>142061.70000000001</v>
      </c>
      <c r="Q31" s="8">
        <f>PurchaseOrdersTable[[#This Row],[Delivery Date]]-PurchaseOrdersTable[[#This Row],[Order Date]]</f>
        <v>14</v>
      </c>
      <c r="R31" s="8">
        <f>MAX(0, PurchaseOrdersTable[[#This Row],[Delivery Date]]-PurchaseOrdersTable[[#This Row],[Promised Date]])</f>
        <v>5</v>
      </c>
      <c r="S31" s="9">
        <f>PurchaseOrdersTable[[#This Row],[Rejected Qty]]/PurchaseOrdersTable[[#This Row],[Qty Received]]</f>
        <v>3.3333333333333333E-2</v>
      </c>
      <c r="T31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32" spans="1:28" ht="12" customHeight="1">
      <c r="A32" t="s">
        <v>80</v>
      </c>
      <c r="B32" s="2">
        <v>46048</v>
      </c>
      <c r="C32" s="2">
        <v>46056</v>
      </c>
      <c r="D32" s="2">
        <v>46058</v>
      </c>
      <c r="E32" t="s">
        <v>38</v>
      </c>
      <c r="F32" t="s">
        <v>35</v>
      </c>
      <c r="G32" t="s">
        <v>70</v>
      </c>
      <c r="H32" s="3">
        <v>260</v>
      </c>
      <c r="I32" s="3">
        <v>260</v>
      </c>
      <c r="J32" s="3">
        <v>2</v>
      </c>
      <c r="K32" s="4">
        <v>4182.45</v>
      </c>
      <c r="L32" t="s">
        <v>28</v>
      </c>
      <c r="M32" s="6" t="str">
        <f>VLOOKUP(PurchaseOrdersTable[[#This Row],[Supplier Code]],SupplierMasterTable[[Supplier Code]:[Supplier Name]],2,)</f>
        <v>Western MRO Hub</v>
      </c>
      <c r="N32" s="6" t="str">
        <f>VLOOKUP(PurchaseOrdersTable[[#This Row],[Product Code]],ProductMasterTable[[Product Code]:[Product Name]],2,)</f>
        <v>Copper Cable Roll - 100 m</v>
      </c>
      <c r="O32" s="6" t="str">
        <f>VLOOKUP(PurchaseOrdersTable[[#This Row],[Product Code]],ProductMasterTable[[#All],[Product Code]:[Category]],3,)</f>
        <v>Electricals</v>
      </c>
      <c r="P32" s="7">
        <f>PurchaseOrdersTable[[#This Row],[Qty Ordered]]*PurchaseOrdersTable[[#This Row],[Unit Price (₹)]]</f>
        <v>1087437</v>
      </c>
      <c r="Q32" s="8">
        <f>PurchaseOrdersTable[[#This Row],[Delivery Date]]-PurchaseOrdersTable[[#This Row],[Order Date]]</f>
        <v>10</v>
      </c>
      <c r="R32" s="8">
        <f>MAX(0, PurchaseOrdersTable[[#This Row],[Delivery Date]]-PurchaseOrdersTable[[#This Row],[Promised Date]])</f>
        <v>2</v>
      </c>
      <c r="S32" s="9">
        <f>PurchaseOrdersTable[[#This Row],[Rejected Qty]]/PurchaseOrdersTable[[#This Row],[Qty Received]]</f>
        <v>7.6923076923076927E-3</v>
      </c>
      <c r="T32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33" spans="1:20" ht="12" customHeight="1">
      <c r="A33" t="s">
        <v>81</v>
      </c>
      <c r="B33" s="2">
        <v>46128</v>
      </c>
      <c r="C33" s="2">
        <v>46135</v>
      </c>
      <c r="D33" s="2">
        <v>46139</v>
      </c>
      <c r="E33" t="s">
        <v>25</v>
      </c>
      <c r="F33" t="s">
        <v>26</v>
      </c>
      <c r="G33" t="s">
        <v>82</v>
      </c>
      <c r="H33" s="3">
        <v>90</v>
      </c>
      <c r="I33" s="3">
        <v>89</v>
      </c>
      <c r="J33" s="3">
        <v>3</v>
      </c>
      <c r="K33" s="4">
        <v>3105.7</v>
      </c>
      <c r="L33" t="s">
        <v>61</v>
      </c>
      <c r="M33" s="6" t="str">
        <f>VLOOKUP(PurchaseOrdersTable[[#This Row],[Supplier Code]],SupplierMasterTable[[Supplier Code]:[Supplier Name]],2,)</f>
        <v>ProServe MRO Solutions</v>
      </c>
      <c r="N33" s="6" t="str">
        <f>VLOOKUP(PurchaseOrdersTable[[#This Row],[Product Code]],ProductMasterTable[[Product Code]:[Product Name]],2,)</f>
        <v>Industrial Degreaser - 20 L</v>
      </c>
      <c r="O33" s="6" t="str">
        <f>VLOOKUP(PurchaseOrdersTable[[#This Row],[Product Code]],ProductMasterTable[[#All],[Product Code]:[Category]],3,)</f>
        <v>Cleaning and Consumables</v>
      </c>
      <c r="P33" s="7">
        <f>PurchaseOrdersTable[[#This Row],[Qty Ordered]]*PurchaseOrdersTable[[#This Row],[Unit Price (₹)]]</f>
        <v>279513</v>
      </c>
      <c r="Q33" s="8">
        <f>PurchaseOrdersTable[[#This Row],[Delivery Date]]-PurchaseOrdersTable[[#This Row],[Order Date]]</f>
        <v>11</v>
      </c>
      <c r="R33" s="8">
        <f>MAX(0, PurchaseOrdersTable[[#This Row],[Delivery Date]]-PurchaseOrdersTable[[#This Row],[Promised Date]])</f>
        <v>4</v>
      </c>
      <c r="S33" s="9">
        <f>PurchaseOrdersTable[[#This Row],[Rejected Qty]]/PurchaseOrdersTable[[#This Row],[Qty Received]]</f>
        <v>3.3707865168539325E-2</v>
      </c>
      <c r="T33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34" spans="1:20" ht="12" customHeight="1">
      <c r="A34" t="s">
        <v>83</v>
      </c>
      <c r="B34" s="2">
        <v>46142</v>
      </c>
      <c r="C34" s="2">
        <v>46152</v>
      </c>
      <c r="D34" s="2">
        <v>46158</v>
      </c>
      <c r="E34" t="s">
        <v>30</v>
      </c>
      <c r="F34" t="s">
        <v>39</v>
      </c>
      <c r="G34" t="s">
        <v>36</v>
      </c>
      <c r="H34" s="3">
        <v>660</v>
      </c>
      <c r="I34" s="3">
        <v>654</v>
      </c>
      <c r="J34" s="3">
        <v>19</v>
      </c>
      <c r="K34" s="4">
        <v>2178.3000000000002</v>
      </c>
      <c r="L34" t="s">
        <v>28</v>
      </c>
      <c r="M34" s="6" t="str">
        <f>VLOOKUP(PurchaseOrdersTable[[#This Row],[Supplier Code]],SupplierMasterTable[[Supplier Code]:[Supplier Name]],2,)</f>
        <v>Bharat Industrial Supplies</v>
      </c>
      <c r="N34" s="6" t="str">
        <f>VLOOKUP(PurchaseOrdersTable[[#This Row],[Product Code]],ProductMasterTable[[Product Code]:[Product Name]],2,)</f>
        <v>Three-Phase Contactor</v>
      </c>
      <c r="O34" s="6" t="str">
        <f>VLOOKUP(PurchaseOrdersTable[[#This Row],[Product Code]],ProductMasterTable[[#All],[Product Code]:[Category]],3,)</f>
        <v>Electricals</v>
      </c>
      <c r="P34" s="7">
        <f>PurchaseOrdersTable[[#This Row],[Qty Ordered]]*PurchaseOrdersTable[[#This Row],[Unit Price (₹)]]</f>
        <v>1437678.0000000002</v>
      </c>
      <c r="Q34" s="8">
        <f>PurchaseOrdersTable[[#This Row],[Delivery Date]]-PurchaseOrdersTable[[#This Row],[Order Date]]</f>
        <v>16</v>
      </c>
      <c r="R34" s="8">
        <f>MAX(0, PurchaseOrdersTable[[#This Row],[Delivery Date]]-PurchaseOrdersTable[[#This Row],[Promised Date]])</f>
        <v>6</v>
      </c>
      <c r="S34" s="9">
        <f>PurchaseOrdersTable[[#This Row],[Rejected Qty]]/PurchaseOrdersTable[[#This Row],[Qty Received]]</f>
        <v>2.9051987767584098E-2</v>
      </c>
      <c r="T34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35" spans="1:20" ht="12" customHeight="1">
      <c r="A35" t="s">
        <v>84</v>
      </c>
      <c r="B35" s="2">
        <v>46073</v>
      </c>
      <c r="C35" s="2">
        <v>46082</v>
      </c>
      <c r="D35" s="2">
        <v>46084</v>
      </c>
      <c r="E35" t="s">
        <v>34</v>
      </c>
      <c r="F35" t="s">
        <v>72</v>
      </c>
      <c r="G35" t="s">
        <v>40</v>
      </c>
      <c r="H35" s="3">
        <v>1300</v>
      </c>
      <c r="I35" s="3">
        <v>1292</v>
      </c>
      <c r="J35" s="3">
        <v>26</v>
      </c>
      <c r="K35" s="4">
        <v>445.4</v>
      </c>
      <c r="L35" t="s">
        <v>28</v>
      </c>
      <c r="M35" s="6" t="str">
        <f>VLOOKUP(PurchaseOrdersTable[[#This Row],[Supplier Code]],SupplierMasterTable[[Supplier Code]:[Supplier Name]],2,)</f>
        <v>SecureTech Safety Solutions</v>
      </c>
      <c r="N35" s="6" t="str">
        <f>VLOOKUP(PurchaseOrdersTable[[#This Row],[Product Code]],ProductMasterTable[[Product Code]:[Product Name]],2,)</f>
        <v>Industrial Safety Helmet</v>
      </c>
      <c r="O35" s="6" t="str">
        <f>VLOOKUP(PurchaseOrdersTable[[#This Row],[Product Code]],ProductMasterTable[[#All],[Product Code]:[Category]],3,)</f>
        <v>Safety and PPE</v>
      </c>
      <c r="P35" s="7">
        <f>PurchaseOrdersTable[[#This Row],[Qty Ordered]]*PurchaseOrdersTable[[#This Row],[Unit Price (₹)]]</f>
        <v>579020</v>
      </c>
      <c r="Q35" s="8">
        <f>PurchaseOrdersTable[[#This Row],[Delivery Date]]-PurchaseOrdersTable[[#This Row],[Order Date]]</f>
        <v>11</v>
      </c>
      <c r="R35" s="8">
        <f>MAX(0, PurchaseOrdersTable[[#This Row],[Delivery Date]]-PurchaseOrdersTable[[#This Row],[Promised Date]])</f>
        <v>2</v>
      </c>
      <c r="S35" s="9">
        <f>PurchaseOrdersTable[[#This Row],[Rejected Qty]]/PurchaseOrdersTable[[#This Row],[Qty Received]]</f>
        <v>2.0123839009287926E-2</v>
      </c>
      <c r="T35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36" spans="1:20" ht="12" customHeight="1">
      <c r="A36" t="s">
        <v>85</v>
      </c>
      <c r="B36" s="2">
        <v>46138</v>
      </c>
      <c r="C36" s="2">
        <v>46151</v>
      </c>
      <c r="D36" s="2">
        <v>46158</v>
      </c>
      <c r="E36" t="s">
        <v>38</v>
      </c>
      <c r="F36" t="s">
        <v>54</v>
      </c>
      <c r="G36" t="s">
        <v>64</v>
      </c>
      <c r="H36" s="3">
        <v>180</v>
      </c>
      <c r="I36" s="3">
        <v>177</v>
      </c>
      <c r="J36" s="3">
        <v>20</v>
      </c>
      <c r="K36" s="4">
        <v>1141.78</v>
      </c>
      <c r="L36" t="s">
        <v>28</v>
      </c>
      <c r="M36" s="6" t="str">
        <f>VLOOKUP(PurchaseOrdersTable[[#This Row],[Supplier Code]],SupplierMasterTable[[Supplier Code]:[Supplier Name]],2,)</f>
        <v>Eastline Components</v>
      </c>
      <c r="N36" s="6" t="str">
        <f>VLOOKUP(PurchaseOrdersTable[[#This Row],[Product Code]],ProductMasterTable[[Product Code]:[Product Name]],2,)</f>
        <v>Deep-Groove Ball Bearing</v>
      </c>
      <c r="O36" s="6" t="str">
        <f>VLOOKUP(PurchaseOrdersTable[[#This Row],[Product Code]],ProductMasterTable[[#All],[Product Code]:[Category]],3,)</f>
        <v>Bearings and Mechanical</v>
      </c>
      <c r="P36" s="7">
        <f>PurchaseOrdersTable[[#This Row],[Qty Ordered]]*PurchaseOrdersTable[[#This Row],[Unit Price (₹)]]</f>
        <v>205520.4</v>
      </c>
      <c r="Q36" s="8">
        <f>PurchaseOrdersTable[[#This Row],[Delivery Date]]-PurchaseOrdersTable[[#This Row],[Order Date]]</f>
        <v>20</v>
      </c>
      <c r="R36" s="8">
        <f>MAX(0, PurchaseOrdersTable[[#This Row],[Delivery Date]]-PurchaseOrdersTable[[#This Row],[Promised Date]])</f>
        <v>7</v>
      </c>
      <c r="S36" s="9">
        <f>PurchaseOrdersTable[[#This Row],[Rejected Qty]]/PurchaseOrdersTable[[#This Row],[Qty Received]]</f>
        <v>0.11299435028248588</v>
      </c>
      <c r="T36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37" spans="1:20" ht="12" customHeight="1">
      <c r="A37" t="s">
        <v>86</v>
      </c>
      <c r="B37" s="2">
        <v>46186</v>
      </c>
      <c r="C37" s="2">
        <v>46194</v>
      </c>
      <c r="D37" s="2">
        <v>46197</v>
      </c>
      <c r="E37" t="s">
        <v>25</v>
      </c>
      <c r="F37" t="s">
        <v>87</v>
      </c>
      <c r="G37" t="s">
        <v>88</v>
      </c>
      <c r="H37" s="3">
        <v>350</v>
      </c>
      <c r="I37" s="3">
        <v>348</v>
      </c>
      <c r="J37" s="3">
        <v>2</v>
      </c>
      <c r="K37" s="4">
        <v>970.68</v>
      </c>
      <c r="L37" t="s">
        <v>28</v>
      </c>
      <c r="M37" s="6" t="str">
        <f>VLOOKUP(PurchaseOrdersTable[[#This Row],[Supplier Code]],SupplierMasterTable[[Supplier Code]:[Supplier Name]],2,)</f>
        <v>CleanWorks Industrial</v>
      </c>
      <c r="N37" s="6" t="str">
        <f>VLOOKUP(PurchaseOrdersTable[[#This Row],[Product Code]],ProductMasterTable[[Product Code]:[Product Name]],2,)</f>
        <v>Industrial Wipes - Carton</v>
      </c>
      <c r="O37" s="6" t="str">
        <f>VLOOKUP(PurchaseOrdersTable[[#This Row],[Product Code]],ProductMasterTable[[#All],[Product Code]:[Category]],3,)</f>
        <v>Cleaning and Consumables</v>
      </c>
      <c r="P37" s="7">
        <f>PurchaseOrdersTable[[#This Row],[Qty Ordered]]*PurchaseOrdersTable[[#This Row],[Unit Price (₹)]]</f>
        <v>339738</v>
      </c>
      <c r="Q37" s="8">
        <f>PurchaseOrdersTable[[#This Row],[Delivery Date]]-PurchaseOrdersTable[[#This Row],[Order Date]]</f>
        <v>11</v>
      </c>
      <c r="R37" s="8">
        <f>MAX(0, PurchaseOrdersTable[[#This Row],[Delivery Date]]-PurchaseOrdersTable[[#This Row],[Promised Date]])</f>
        <v>3</v>
      </c>
      <c r="S37" s="9">
        <f>PurchaseOrdersTable[[#This Row],[Rejected Qty]]/PurchaseOrdersTable[[#This Row],[Qty Received]]</f>
        <v>5.7471264367816091E-3</v>
      </c>
      <c r="T37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38" spans="1:20" ht="12" customHeight="1">
      <c r="A38" t="s">
        <v>89</v>
      </c>
      <c r="B38" s="2">
        <v>46059</v>
      </c>
      <c r="C38" s="2">
        <v>46068</v>
      </c>
      <c r="D38" s="2">
        <v>46069</v>
      </c>
      <c r="E38" t="s">
        <v>30</v>
      </c>
      <c r="F38" t="s">
        <v>72</v>
      </c>
      <c r="G38" t="s">
        <v>27</v>
      </c>
      <c r="H38" s="3">
        <v>1250</v>
      </c>
      <c r="I38" s="3">
        <v>1236</v>
      </c>
      <c r="J38" s="3">
        <v>10</v>
      </c>
      <c r="K38" s="4">
        <v>550.37</v>
      </c>
      <c r="L38" t="s">
        <v>28</v>
      </c>
      <c r="M38" s="6" t="str">
        <f>VLOOKUP(PurchaseOrdersTable[[#This Row],[Supplier Code]],SupplierMasterTable[[Supplier Code]:[Supplier Name]],2,)</f>
        <v>SecureTech Safety Solutions</v>
      </c>
      <c r="N38" s="6" t="str">
        <f>VLOOKUP(PurchaseOrdersTable[[#This Row],[Product Code]],ProductMasterTable[[Product Code]:[Product Name]],2,)</f>
        <v>Reflective Safety Jacket</v>
      </c>
      <c r="O38" s="6" t="str">
        <f>VLOOKUP(PurchaseOrdersTable[[#This Row],[Product Code]],ProductMasterTable[[#All],[Product Code]:[Category]],3,)</f>
        <v>Safety and PPE</v>
      </c>
      <c r="P38" s="7">
        <f>PurchaseOrdersTable[[#This Row],[Qty Ordered]]*PurchaseOrdersTable[[#This Row],[Unit Price (₹)]]</f>
        <v>687962.5</v>
      </c>
      <c r="Q38" s="8">
        <f>PurchaseOrdersTable[[#This Row],[Delivery Date]]-PurchaseOrdersTable[[#This Row],[Order Date]]</f>
        <v>10</v>
      </c>
      <c r="R38" s="8">
        <f>MAX(0, PurchaseOrdersTable[[#This Row],[Delivery Date]]-PurchaseOrdersTable[[#This Row],[Promised Date]])</f>
        <v>1</v>
      </c>
      <c r="S38" s="9">
        <f>PurchaseOrdersTable[[#This Row],[Rejected Qty]]/PurchaseOrdersTable[[#This Row],[Qty Received]]</f>
        <v>8.0906148867313909E-3</v>
      </c>
      <c r="T38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39" spans="1:20" ht="12" customHeight="1">
      <c r="A39" t="s">
        <v>90</v>
      </c>
      <c r="B39" s="2">
        <v>46071</v>
      </c>
      <c r="C39" s="2">
        <v>46080</v>
      </c>
      <c r="D39" s="2">
        <v>46082</v>
      </c>
      <c r="E39" t="s">
        <v>34</v>
      </c>
      <c r="F39" t="s">
        <v>26</v>
      </c>
      <c r="G39" t="s">
        <v>50</v>
      </c>
      <c r="H39" s="3">
        <v>130</v>
      </c>
      <c r="I39" s="3">
        <v>129</v>
      </c>
      <c r="J39" s="3">
        <v>3</v>
      </c>
      <c r="K39" s="4">
        <v>3601.17</v>
      </c>
      <c r="L39" t="s">
        <v>28</v>
      </c>
      <c r="M39" s="6" t="str">
        <f>VLOOKUP(PurchaseOrdersTable[[#This Row],[Supplier Code]],SupplierMasterTable[[Supplier Code]:[Supplier Name]],2,)</f>
        <v>ProServe MRO Solutions</v>
      </c>
      <c r="N39" s="6" t="str">
        <f>VLOOKUP(PurchaseOrdersTable[[#This Row],[Product Code]],ProductMasterTable[[Product Code]:[Product Name]],2,)</f>
        <v>Industrial Angle Grinder</v>
      </c>
      <c r="O39" s="6" t="str">
        <f>VLOOKUP(PurchaseOrdersTable[[#This Row],[Product Code]],ProductMasterTable[[#All],[Product Code]:[Category]],3,)</f>
        <v>Hand Tools</v>
      </c>
      <c r="P39" s="7">
        <f>PurchaseOrdersTable[[#This Row],[Qty Ordered]]*PurchaseOrdersTable[[#This Row],[Unit Price (₹)]]</f>
        <v>468152.10000000003</v>
      </c>
      <c r="Q39" s="8">
        <f>PurchaseOrdersTable[[#This Row],[Delivery Date]]-PurchaseOrdersTable[[#This Row],[Order Date]]</f>
        <v>11</v>
      </c>
      <c r="R39" s="8">
        <f>MAX(0, PurchaseOrdersTable[[#This Row],[Delivery Date]]-PurchaseOrdersTable[[#This Row],[Promised Date]])</f>
        <v>2</v>
      </c>
      <c r="S39" s="9">
        <f>PurchaseOrdersTable[[#This Row],[Rejected Qty]]/PurchaseOrdersTable[[#This Row],[Qty Received]]</f>
        <v>2.3255813953488372E-2</v>
      </c>
      <c r="T39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40" spans="1:20" ht="12" customHeight="1">
      <c r="A40" t="s">
        <v>91</v>
      </c>
      <c r="B40" s="2">
        <v>46058</v>
      </c>
      <c r="C40" s="2">
        <v>46067</v>
      </c>
      <c r="D40" s="2">
        <v>46070</v>
      </c>
      <c r="E40" t="s">
        <v>38</v>
      </c>
      <c r="F40" t="s">
        <v>26</v>
      </c>
      <c r="G40" t="s">
        <v>48</v>
      </c>
      <c r="H40" s="3">
        <v>80</v>
      </c>
      <c r="I40" s="3">
        <v>79</v>
      </c>
      <c r="J40" s="3">
        <v>3</v>
      </c>
      <c r="K40" s="4">
        <v>4563.51</v>
      </c>
      <c r="L40" t="s">
        <v>28</v>
      </c>
      <c r="M40" s="6" t="str">
        <f>VLOOKUP(PurchaseOrdersTable[[#This Row],[Supplier Code]],SupplierMasterTable[[Supplier Code]:[Supplier Name]],2,)</f>
        <v>ProServe MRO Solutions</v>
      </c>
      <c r="N40" s="6" t="str">
        <f>VLOOKUP(PurchaseOrdersTable[[#This Row],[Product Code]],ProductMasterTable[[Product Code]:[Product Name]],2,)</f>
        <v>Industrial Torque Wrench</v>
      </c>
      <c r="O40" s="6" t="str">
        <f>VLOOKUP(PurchaseOrdersTable[[#This Row],[Product Code]],ProductMasterTable[[#All],[Product Code]:[Category]],3,)</f>
        <v>Hand Tools</v>
      </c>
      <c r="P40" s="7">
        <f>PurchaseOrdersTable[[#This Row],[Qty Ordered]]*PurchaseOrdersTable[[#This Row],[Unit Price (₹)]]</f>
        <v>365080.80000000005</v>
      </c>
      <c r="Q40" s="8">
        <f>PurchaseOrdersTable[[#This Row],[Delivery Date]]-PurchaseOrdersTable[[#This Row],[Order Date]]</f>
        <v>12</v>
      </c>
      <c r="R40" s="8">
        <f>MAX(0, PurchaseOrdersTable[[#This Row],[Delivery Date]]-PurchaseOrdersTable[[#This Row],[Promised Date]])</f>
        <v>3</v>
      </c>
      <c r="S40" s="9">
        <f>PurchaseOrdersTable[[#This Row],[Rejected Qty]]/PurchaseOrdersTable[[#This Row],[Qty Received]]</f>
        <v>3.7974683544303799E-2</v>
      </c>
      <c r="T40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41" spans="1:20">
      <c r="A41" t="s">
        <v>92</v>
      </c>
      <c r="B41" s="2">
        <v>46127</v>
      </c>
      <c r="C41" s="2">
        <v>46132</v>
      </c>
      <c r="D41" s="2">
        <v>46134</v>
      </c>
      <c r="E41" t="s">
        <v>25</v>
      </c>
      <c r="F41" t="s">
        <v>57</v>
      </c>
      <c r="G41" t="s">
        <v>40</v>
      </c>
      <c r="H41" s="3">
        <v>1850</v>
      </c>
      <c r="I41" s="3">
        <v>1814</v>
      </c>
      <c r="J41" s="3">
        <v>101</v>
      </c>
      <c r="K41" s="4">
        <v>384.09</v>
      </c>
      <c r="L41" t="s">
        <v>28</v>
      </c>
      <c r="M41" s="6" t="str">
        <f>VLOOKUP(PurchaseOrdersTable[[#This Row],[Supplier Code]],SupplierMasterTable[[Supplier Code]:[Supplier Name]],2,)</f>
        <v>Metro Industrial Mart</v>
      </c>
      <c r="N41" s="6" t="str">
        <f>VLOOKUP(PurchaseOrdersTable[[#This Row],[Product Code]],ProductMasterTable[[Product Code]:[Product Name]],2,)</f>
        <v>Industrial Safety Helmet</v>
      </c>
      <c r="O41" s="6" t="str">
        <f>VLOOKUP(PurchaseOrdersTable[[#This Row],[Product Code]],ProductMasterTable[[#All],[Product Code]:[Category]],3,)</f>
        <v>Safety and PPE</v>
      </c>
      <c r="P41" s="7">
        <f>PurchaseOrdersTable[[#This Row],[Qty Ordered]]*PurchaseOrdersTable[[#This Row],[Unit Price (₹)]]</f>
        <v>710566.5</v>
      </c>
      <c r="Q41" s="8">
        <f>PurchaseOrdersTable[[#This Row],[Delivery Date]]-PurchaseOrdersTable[[#This Row],[Order Date]]</f>
        <v>7</v>
      </c>
      <c r="R41" s="8">
        <f>MAX(0, PurchaseOrdersTable[[#This Row],[Delivery Date]]-PurchaseOrdersTable[[#This Row],[Promised Date]])</f>
        <v>2</v>
      </c>
      <c r="S41" s="9">
        <f>PurchaseOrdersTable[[#This Row],[Rejected Qty]]/PurchaseOrdersTable[[#This Row],[Qty Received]]</f>
        <v>5.567805953693495E-2</v>
      </c>
      <c r="T41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42" spans="1:20">
      <c r="A42" t="s">
        <v>93</v>
      </c>
      <c r="B42" s="2">
        <v>46154</v>
      </c>
      <c r="C42" s="2">
        <v>46158</v>
      </c>
      <c r="D42" s="2">
        <v>46159</v>
      </c>
      <c r="E42" t="s">
        <v>30</v>
      </c>
      <c r="F42" t="s">
        <v>94</v>
      </c>
      <c r="G42" t="s">
        <v>48</v>
      </c>
      <c r="H42" s="3">
        <v>40</v>
      </c>
      <c r="I42" s="3">
        <v>40</v>
      </c>
      <c r="J42" s="3">
        <v>1</v>
      </c>
      <c r="K42" s="4">
        <v>5223.4799999999996</v>
      </c>
      <c r="L42" t="s">
        <v>61</v>
      </c>
      <c r="M42" s="6" t="str">
        <f>VLOOKUP(PurchaseOrdersTable[[#This Row],[Supplier Code]],SupplierMasterTable[[Supplier Code]:[Supplier Name]],2,)</f>
        <v>Precision Tools India</v>
      </c>
      <c r="N42" s="6" t="str">
        <f>VLOOKUP(PurchaseOrdersTable[[#This Row],[Product Code]],ProductMasterTable[[Product Code]:[Product Name]],2,)</f>
        <v>Industrial Torque Wrench</v>
      </c>
      <c r="O42" s="6" t="str">
        <f>VLOOKUP(PurchaseOrdersTable[[#This Row],[Product Code]],ProductMasterTable[[#All],[Product Code]:[Category]],3,)</f>
        <v>Hand Tools</v>
      </c>
      <c r="P42" s="7">
        <f>PurchaseOrdersTable[[#This Row],[Qty Ordered]]*PurchaseOrdersTable[[#This Row],[Unit Price (₹)]]</f>
        <v>208939.19999999998</v>
      </c>
      <c r="Q42" s="8">
        <f>PurchaseOrdersTable[[#This Row],[Delivery Date]]-PurchaseOrdersTable[[#This Row],[Order Date]]</f>
        <v>5</v>
      </c>
      <c r="R42" s="8">
        <f>MAX(0, PurchaseOrdersTable[[#This Row],[Delivery Date]]-PurchaseOrdersTable[[#This Row],[Promised Date]])</f>
        <v>1</v>
      </c>
      <c r="S42" s="9">
        <f>PurchaseOrdersTable[[#This Row],[Rejected Qty]]/PurchaseOrdersTable[[#This Row],[Qty Received]]</f>
        <v>2.5000000000000001E-2</v>
      </c>
      <c r="T42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43" spans="1:20">
      <c r="A43" t="s">
        <v>95</v>
      </c>
      <c r="B43" s="2">
        <v>46125</v>
      </c>
      <c r="C43" s="2">
        <v>46133</v>
      </c>
      <c r="D43" s="2">
        <v>46132</v>
      </c>
      <c r="E43" t="s">
        <v>34</v>
      </c>
      <c r="F43" t="s">
        <v>87</v>
      </c>
      <c r="G43" t="s">
        <v>96</v>
      </c>
      <c r="H43" s="3">
        <v>250</v>
      </c>
      <c r="I43" s="3">
        <v>249</v>
      </c>
      <c r="J43" s="3">
        <v>2</v>
      </c>
      <c r="K43" s="4">
        <v>5318.93</v>
      </c>
      <c r="L43" t="s">
        <v>28</v>
      </c>
      <c r="M43" s="6" t="str">
        <f>VLOOKUP(PurchaseOrdersTable[[#This Row],[Supplier Code]],SupplierMasterTable[[Supplier Code]:[Supplier Name]],2,)</f>
        <v>CleanWorks Industrial</v>
      </c>
      <c r="N43" s="6" t="str">
        <f>VLOOKUP(PurchaseOrdersTable[[#This Row],[Product Code]],ProductMasterTable[[Product Code]:[Product Name]],2,)</f>
        <v>Multipurpose Lubricant - Drum</v>
      </c>
      <c r="O43" s="6" t="str">
        <f>VLOOKUP(PurchaseOrdersTable[[#This Row],[Product Code]],ProductMasterTable[[#All],[Product Code]:[Category]],3,)</f>
        <v>Cleaning and Consumables</v>
      </c>
      <c r="P43" s="7">
        <f>PurchaseOrdersTable[[#This Row],[Qty Ordered]]*PurchaseOrdersTable[[#This Row],[Unit Price (₹)]]</f>
        <v>1329732.5</v>
      </c>
      <c r="Q43" s="8">
        <f>PurchaseOrdersTable[[#This Row],[Delivery Date]]-PurchaseOrdersTable[[#This Row],[Order Date]]</f>
        <v>7</v>
      </c>
      <c r="R43" s="8">
        <f>MAX(0, PurchaseOrdersTable[[#This Row],[Delivery Date]]-PurchaseOrdersTable[[#This Row],[Promised Date]])</f>
        <v>0</v>
      </c>
      <c r="S43" s="9">
        <f>PurchaseOrdersTable[[#This Row],[Rejected Qty]]/PurchaseOrdersTable[[#This Row],[Qty Received]]</f>
        <v>8.0321285140562242E-3</v>
      </c>
      <c r="T43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44" spans="1:20">
      <c r="A44" t="s">
        <v>97</v>
      </c>
      <c r="B44" s="2">
        <v>46107</v>
      </c>
      <c r="C44" s="2">
        <v>46118</v>
      </c>
      <c r="D44" s="2">
        <v>46120</v>
      </c>
      <c r="E44" t="s">
        <v>38</v>
      </c>
      <c r="F44" t="s">
        <v>31</v>
      </c>
      <c r="G44" t="s">
        <v>64</v>
      </c>
      <c r="H44" s="3">
        <v>440</v>
      </c>
      <c r="I44" s="3">
        <v>438</v>
      </c>
      <c r="J44" s="3">
        <v>8</v>
      </c>
      <c r="K44" s="4">
        <v>1244.3399999999999</v>
      </c>
      <c r="L44" t="s">
        <v>28</v>
      </c>
      <c r="M44" s="6" t="str">
        <f>VLOOKUP(PurchaseOrdersTable[[#This Row],[Supplier Code]],SupplierMasterTable[[Supplier Code]:[Supplier Name]],2,)</f>
        <v>National Bearings Company</v>
      </c>
      <c r="N44" s="6" t="str">
        <f>VLOOKUP(PurchaseOrdersTable[[#This Row],[Product Code]],ProductMasterTable[[Product Code]:[Product Name]],2,)</f>
        <v>Deep-Groove Ball Bearing</v>
      </c>
      <c r="O44" s="6" t="str">
        <f>VLOOKUP(PurchaseOrdersTable[[#This Row],[Product Code]],ProductMasterTable[[#All],[Product Code]:[Category]],3,)</f>
        <v>Bearings and Mechanical</v>
      </c>
      <c r="P44" s="7">
        <f>PurchaseOrdersTable[[#This Row],[Qty Ordered]]*PurchaseOrdersTable[[#This Row],[Unit Price (₹)]]</f>
        <v>547509.6</v>
      </c>
      <c r="Q44" s="8">
        <f>PurchaseOrdersTable[[#This Row],[Delivery Date]]-PurchaseOrdersTable[[#This Row],[Order Date]]</f>
        <v>13</v>
      </c>
      <c r="R44" s="8">
        <f>MAX(0, PurchaseOrdersTable[[#This Row],[Delivery Date]]-PurchaseOrdersTable[[#This Row],[Promised Date]])</f>
        <v>2</v>
      </c>
      <c r="S44" s="9">
        <f>PurchaseOrdersTable[[#This Row],[Rejected Qty]]/PurchaseOrdersTable[[#This Row],[Qty Received]]</f>
        <v>1.8264840182648401E-2</v>
      </c>
      <c r="T44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45" spans="1:20">
      <c r="A45" t="s">
        <v>98</v>
      </c>
      <c r="B45" s="2">
        <v>46188</v>
      </c>
      <c r="C45" s="2">
        <v>46197</v>
      </c>
      <c r="D45" s="2">
        <v>46199</v>
      </c>
      <c r="E45" t="s">
        <v>25</v>
      </c>
      <c r="F45" t="s">
        <v>26</v>
      </c>
      <c r="G45" t="s">
        <v>64</v>
      </c>
      <c r="H45" s="3">
        <v>420</v>
      </c>
      <c r="I45" s="3">
        <v>419</v>
      </c>
      <c r="J45" s="3">
        <v>19</v>
      </c>
      <c r="K45" s="4">
        <v>1155.3</v>
      </c>
      <c r="L45" t="s">
        <v>28</v>
      </c>
      <c r="M45" s="6" t="str">
        <f>VLOOKUP(PurchaseOrdersTable[[#This Row],[Supplier Code]],SupplierMasterTable[[Supplier Code]:[Supplier Name]],2,)</f>
        <v>ProServe MRO Solutions</v>
      </c>
      <c r="N45" s="6" t="str">
        <f>VLOOKUP(PurchaseOrdersTable[[#This Row],[Product Code]],ProductMasterTable[[Product Code]:[Product Name]],2,)</f>
        <v>Deep-Groove Ball Bearing</v>
      </c>
      <c r="O45" s="6" t="str">
        <f>VLOOKUP(PurchaseOrdersTable[[#This Row],[Product Code]],ProductMasterTable[[#All],[Product Code]:[Category]],3,)</f>
        <v>Bearings and Mechanical</v>
      </c>
      <c r="P45" s="7">
        <f>PurchaseOrdersTable[[#This Row],[Qty Ordered]]*PurchaseOrdersTable[[#This Row],[Unit Price (₹)]]</f>
        <v>485226</v>
      </c>
      <c r="Q45" s="8">
        <f>PurchaseOrdersTable[[#This Row],[Delivery Date]]-PurchaseOrdersTable[[#This Row],[Order Date]]</f>
        <v>11</v>
      </c>
      <c r="R45" s="8">
        <f>MAX(0, PurchaseOrdersTable[[#This Row],[Delivery Date]]-PurchaseOrdersTable[[#This Row],[Promised Date]])</f>
        <v>2</v>
      </c>
      <c r="S45" s="9">
        <f>PurchaseOrdersTable[[#This Row],[Rejected Qty]]/PurchaseOrdersTable[[#This Row],[Qty Received]]</f>
        <v>4.5346062052505964E-2</v>
      </c>
      <c r="T45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46" spans="1:20">
      <c r="A46" t="s">
        <v>99</v>
      </c>
      <c r="B46" s="2">
        <v>46112</v>
      </c>
      <c r="C46" s="2">
        <v>46125</v>
      </c>
      <c r="D46" s="2">
        <v>46129</v>
      </c>
      <c r="E46" t="s">
        <v>30</v>
      </c>
      <c r="F46" t="s">
        <v>54</v>
      </c>
      <c r="G46" t="s">
        <v>55</v>
      </c>
      <c r="H46" s="3">
        <v>540</v>
      </c>
      <c r="I46" s="3">
        <v>523</v>
      </c>
      <c r="J46" s="3">
        <v>65</v>
      </c>
      <c r="K46" s="4">
        <v>2740.57</v>
      </c>
      <c r="L46" t="s">
        <v>28</v>
      </c>
      <c r="M46" s="6" t="str">
        <f>VLOOKUP(PurchaseOrdersTable[[#This Row],[Supplier Code]],SupplierMasterTable[[Supplier Code]:[Supplier Name]],2,)</f>
        <v>Eastline Components</v>
      </c>
      <c r="N46" s="6" t="str">
        <f>VLOOKUP(PurchaseOrdersTable[[#This Row],[Product Code]],ProductMasterTable[[Product Code]:[Product Name]],2,)</f>
        <v>Industrial Roller Bearing</v>
      </c>
      <c r="O46" s="6" t="str">
        <f>VLOOKUP(PurchaseOrdersTable[[#This Row],[Product Code]],ProductMasterTable[[#All],[Product Code]:[Category]],3,)</f>
        <v>Bearings and Mechanical</v>
      </c>
      <c r="P46" s="7">
        <f>PurchaseOrdersTable[[#This Row],[Qty Ordered]]*PurchaseOrdersTable[[#This Row],[Unit Price (₹)]]</f>
        <v>1479907.8</v>
      </c>
      <c r="Q46" s="8">
        <f>PurchaseOrdersTable[[#This Row],[Delivery Date]]-PurchaseOrdersTable[[#This Row],[Order Date]]</f>
        <v>17</v>
      </c>
      <c r="R46" s="8">
        <f>MAX(0, PurchaseOrdersTable[[#This Row],[Delivery Date]]-PurchaseOrdersTable[[#This Row],[Promised Date]])</f>
        <v>4</v>
      </c>
      <c r="S46" s="9">
        <f>PurchaseOrdersTable[[#This Row],[Rejected Qty]]/PurchaseOrdersTable[[#This Row],[Qty Received]]</f>
        <v>0.124282982791587</v>
      </c>
      <c r="T46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47" spans="1:20">
      <c r="A47" t="s">
        <v>100</v>
      </c>
      <c r="B47" s="2">
        <v>46034</v>
      </c>
      <c r="C47" s="2">
        <v>46044</v>
      </c>
      <c r="D47" s="2">
        <v>46047</v>
      </c>
      <c r="E47" t="s">
        <v>34</v>
      </c>
      <c r="F47" t="s">
        <v>39</v>
      </c>
      <c r="G47" t="s">
        <v>70</v>
      </c>
      <c r="H47" s="3">
        <v>680</v>
      </c>
      <c r="I47" s="3">
        <v>677</v>
      </c>
      <c r="J47" s="3">
        <v>11</v>
      </c>
      <c r="K47" s="4">
        <v>4068.6</v>
      </c>
      <c r="L47" t="s">
        <v>28</v>
      </c>
      <c r="M47" s="6" t="str">
        <f>VLOOKUP(PurchaseOrdersTable[[#This Row],[Supplier Code]],SupplierMasterTable[[Supplier Code]:[Supplier Name]],2,)</f>
        <v>Bharat Industrial Supplies</v>
      </c>
      <c r="N47" s="6" t="str">
        <f>VLOOKUP(PurchaseOrdersTable[[#This Row],[Product Code]],ProductMasterTable[[Product Code]:[Product Name]],2,)</f>
        <v>Copper Cable Roll - 100 m</v>
      </c>
      <c r="O47" s="6" t="str">
        <f>VLOOKUP(PurchaseOrdersTable[[#This Row],[Product Code]],ProductMasterTable[[#All],[Product Code]:[Category]],3,)</f>
        <v>Electricals</v>
      </c>
      <c r="P47" s="7">
        <f>PurchaseOrdersTable[[#This Row],[Qty Ordered]]*PurchaseOrdersTable[[#This Row],[Unit Price (₹)]]</f>
        <v>2766648</v>
      </c>
      <c r="Q47" s="8">
        <f>PurchaseOrdersTable[[#This Row],[Delivery Date]]-PurchaseOrdersTable[[#This Row],[Order Date]]</f>
        <v>13</v>
      </c>
      <c r="R47" s="8">
        <f>MAX(0, PurchaseOrdersTable[[#This Row],[Delivery Date]]-PurchaseOrdersTable[[#This Row],[Promised Date]])</f>
        <v>3</v>
      </c>
      <c r="S47" s="9">
        <f>PurchaseOrdersTable[[#This Row],[Rejected Qty]]/PurchaseOrdersTable[[#This Row],[Qty Received]]</f>
        <v>1.6248153618906941E-2</v>
      </c>
      <c r="T47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48" spans="1:20">
      <c r="A48" t="s">
        <v>101</v>
      </c>
      <c r="B48" s="2">
        <v>46163</v>
      </c>
      <c r="C48" s="2">
        <v>46171</v>
      </c>
      <c r="D48" s="2">
        <v>46171</v>
      </c>
      <c r="E48" t="s">
        <v>38</v>
      </c>
      <c r="F48" t="s">
        <v>35</v>
      </c>
      <c r="G48" t="s">
        <v>102</v>
      </c>
      <c r="H48" s="3">
        <v>150</v>
      </c>
      <c r="I48" s="3">
        <v>150</v>
      </c>
      <c r="J48" s="3">
        <v>4</v>
      </c>
      <c r="K48" s="4">
        <v>6345.27</v>
      </c>
      <c r="L48" t="s">
        <v>28</v>
      </c>
      <c r="M48" s="6" t="str">
        <f>VLOOKUP(PurchaseOrdersTable[[#This Row],[Supplier Code]],SupplierMasterTable[[Supplier Code]:[Supplier Name]],2,)</f>
        <v>Western MRO Hub</v>
      </c>
      <c r="N48" s="6" t="str">
        <f>VLOOKUP(PurchaseOrdersTable[[#This Row],[Product Code]],ProductMasterTable[[Product Code]:[Product Name]],2,)</f>
        <v>Heavy-Duty Drill Machine</v>
      </c>
      <c r="O48" s="6" t="str">
        <f>VLOOKUP(PurchaseOrdersTable[[#This Row],[Product Code]],ProductMasterTable[[#All],[Product Code]:[Category]],3,)</f>
        <v>Hand Tools</v>
      </c>
      <c r="P48" s="7">
        <f>PurchaseOrdersTable[[#This Row],[Qty Ordered]]*PurchaseOrdersTable[[#This Row],[Unit Price (₹)]]</f>
        <v>951790.50000000012</v>
      </c>
      <c r="Q48" s="8">
        <f>PurchaseOrdersTable[[#This Row],[Delivery Date]]-PurchaseOrdersTable[[#This Row],[Order Date]]</f>
        <v>8</v>
      </c>
      <c r="R48" s="8">
        <f>MAX(0, PurchaseOrdersTable[[#This Row],[Delivery Date]]-PurchaseOrdersTable[[#This Row],[Promised Date]])</f>
        <v>0</v>
      </c>
      <c r="S48" s="9">
        <f>PurchaseOrdersTable[[#This Row],[Rejected Qty]]/PurchaseOrdersTable[[#This Row],[Qty Received]]</f>
        <v>2.6666666666666668E-2</v>
      </c>
      <c r="T48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49" spans="1:20">
      <c r="A49" t="s">
        <v>103</v>
      </c>
      <c r="B49" s="2">
        <v>46177</v>
      </c>
      <c r="C49" s="2">
        <v>46187</v>
      </c>
      <c r="D49" s="2">
        <v>46190</v>
      </c>
      <c r="E49" t="s">
        <v>25</v>
      </c>
      <c r="F49" t="s">
        <v>45</v>
      </c>
      <c r="G49" t="s">
        <v>55</v>
      </c>
      <c r="H49" s="3">
        <v>540</v>
      </c>
      <c r="I49" s="3">
        <v>536</v>
      </c>
      <c r="J49" s="3">
        <v>22</v>
      </c>
      <c r="K49" s="4">
        <v>2775.22</v>
      </c>
      <c r="L49" t="s">
        <v>61</v>
      </c>
      <c r="M49" s="6" t="str">
        <f>VLOOKUP(PurchaseOrdersTable[[#This Row],[Supplier Code]],SupplierMasterTable[[Supplier Code]:[Supplier Name]],2,)</f>
        <v>Eastern Engineering Traders</v>
      </c>
      <c r="N49" s="6" t="str">
        <f>VLOOKUP(PurchaseOrdersTable[[#This Row],[Product Code]],ProductMasterTable[[Product Code]:[Product Name]],2,)</f>
        <v>Industrial Roller Bearing</v>
      </c>
      <c r="O49" s="6" t="str">
        <f>VLOOKUP(PurchaseOrdersTable[[#This Row],[Product Code]],ProductMasterTable[[#All],[Product Code]:[Category]],3,)</f>
        <v>Bearings and Mechanical</v>
      </c>
      <c r="P49" s="7">
        <f>PurchaseOrdersTable[[#This Row],[Qty Ordered]]*PurchaseOrdersTable[[#This Row],[Unit Price (₹)]]</f>
        <v>1498618.7999999998</v>
      </c>
      <c r="Q49" s="8">
        <f>PurchaseOrdersTable[[#This Row],[Delivery Date]]-PurchaseOrdersTable[[#This Row],[Order Date]]</f>
        <v>13</v>
      </c>
      <c r="R49" s="8">
        <f>MAX(0, PurchaseOrdersTable[[#This Row],[Delivery Date]]-PurchaseOrdersTable[[#This Row],[Promised Date]])</f>
        <v>3</v>
      </c>
      <c r="S49" s="9">
        <f>PurchaseOrdersTable[[#This Row],[Rejected Qty]]/PurchaseOrdersTable[[#This Row],[Qty Received]]</f>
        <v>4.1044776119402986E-2</v>
      </c>
      <c r="T49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50" spans="1:20">
      <c r="A50" t="s">
        <v>104</v>
      </c>
      <c r="B50" s="2">
        <v>46170</v>
      </c>
      <c r="C50" s="2">
        <v>46182</v>
      </c>
      <c r="D50" s="2">
        <v>46185</v>
      </c>
      <c r="E50" t="s">
        <v>30</v>
      </c>
      <c r="F50" t="s">
        <v>45</v>
      </c>
      <c r="G50" t="s">
        <v>46</v>
      </c>
      <c r="H50" s="3">
        <v>320</v>
      </c>
      <c r="I50" s="3">
        <v>314</v>
      </c>
      <c r="J50" s="3">
        <v>9</v>
      </c>
      <c r="K50" s="4">
        <v>1742.43</v>
      </c>
      <c r="L50" t="s">
        <v>28</v>
      </c>
      <c r="M50" s="6" t="str">
        <f>VLOOKUP(PurchaseOrdersTable[[#This Row],[Supplier Code]],SupplierMasterTable[[Supplier Code]:[Supplier Name]],2,)</f>
        <v>Eastern Engineering Traders</v>
      </c>
      <c r="N50" s="6" t="str">
        <f>VLOOKUP(PurchaseOrdersTable[[#This Row],[Product Code]],ProductMasterTable[[Product Code]:[Product Name]],2,)</f>
        <v>Industrial LED High-Bay Light</v>
      </c>
      <c r="O50" s="6" t="str">
        <f>VLOOKUP(PurchaseOrdersTable[[#This Row],[Product Code]],ProductMasterTable[[#All],[Product Code]:[Category]],3,)</f>
        <v>Electricals</v>
      </c>
      <c r="P50" s="7">
        <f>PurchaseOrdersTable[[#This Row],[Qty Ordered]]*PurchaseOrdersTable[[#This Row],[Unit Price (₹)]]</f>
        <v>557577.6</v>
      </c>
      <c r="Q50" s="8">
        <f>PurchaseOrdersTable[[#This Row],[Delivery Date]]-PurchaseOrdersTable[[#This Row],[Order Date]]</f>
        <v>15</v>
      </c>
      <c r="R50" s="8">
        <f>MAX(0, PurchaseOrdersTable[[#This Row],[Delivery Date]]-PurchaseOrdersTable[[#This Row],[Promised Date]])</f>
        <v>3</v>
      </c>
      <c r="S50" s="9">
        <f>PurchaseOrdersTable[[#This Row],[Rejected Qty]]/PurchaseOrdersTable[[#This Row],[Qty Received]]</f>
        <v>2.8662420382165606E-2</v>
      </c>
      <c r="T50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51" spans="1:20">
      <c r="A51" t="s">
        <v>105</v>
      </c>
      <c r="B51" s="2">
        <v>46178</v>
      </c>
      <c r="C51" s="2">
        <v>46186</v>
      </c>
      <c r="D51" s="2">
        <v>46190</v>
      </c>
      <c r="E51" t="s">
        <v>34</v>
      </c>
      <c r="F51" t="s">
        <v>39</v>
      </c>
      <c r="G51" t="s">
        <v>58</v>
      </c>
      <c r="H51" s="3">
        <v>2550</v>
      </c>
      <c r="I51" s="3">
        <v>2536</v>
      </c>
      <c r="J51" s="3">
        <v>36</v>
      </c>
      <c r="K51" s="4">
        <v>303.92</v>
      </c>
      <c r="L51" t="s">
        <v>61</v>
      </c>
      <c r="M51" s="6" t="str">
        <f>VLOOKUP(PurchaseOrdersTable[[#This Row],[Supplier Code]],SupplierMasterTable[[Supplier Code]:[Supplier Name]],2,)</f>
        <v>Bharat Industrial Supplies</v>
      </c>
      <c r="N51" s="6" t="str">
        <f>VLOOKUP(PurchaseOrdersTable[[#This Row],[Product Code]],ProductMasterTable[[Product Code]:[Product Name]],2,)</f>
        <v>Safety Goggles</v>
      </c>
      <c r="O51" s="6" t="str">
        <f>VLOOKUP(PurchaseOrdersTable[[#This Row],[Product Code]],ProductMasterTable[[#All],[Product Code]:[Category]],3,)</f>
        <v>Safety and PPE</v>
      </c>
      <c r="P51" s="7">
        <f>PurchaseOrdersTable[[#This Row],[Qty Ordered]]*PurchaseOrdersTable[[#This Row],[Unit Price (₹)]]</f>
        <v>774996</v>
      </c>
      <c r="Q51" s="8">
        <f>PurchaseOrdersTable[[#This Row],[Delivery Date]]-PurchaseOrdersTable[[#This Row],[Order Date]]</f>
        <v>12</v>
      </c>
      <c r="R51" s="8">
        <f>MAX(0, PurchaseOrdersTable[[#This Row],[Delivery Date]]-PurchaseOrdersTable[[#This Row],[Promised Date]])</f>
        <v>4</v>
      </c>
      <c r="S51" s="9">
        <f>PurchaseOrdersTable[[#This Row],[Rejected Qty]]/PurchaseOrdersTable[[#This Row],[Qty Received]]</f>
        <v>1.4195583596214511E-2</v>
      </c>
      <c r="T51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52" spans="1:20">
      <c r="A52" t="s">
        <v>106</v>
      </c>
      <c r="B52" s="2">
        <v>46089</v>
      </c>
      <c r="C52" s="2">
        <v>46097</v>
      </c>
      <c r="D52" s="2">
        <v>46099</v>
      </c>
      <c r="E52" t="s">
        <v>38</v>
      </c>
      <c r="F52" t="s">
        <v>87</v>
      </c>
      <c r="G52" t="s">
        <v>88</v>
      </c>
      <c r="H52" s="3">
        <v>60</v>
      </c>
      <c r="I52" s="3">
        <v>60</v>
      </c>
      <c r="J52" s="3">
        <v>1</v>
      </c>
      <c r="K52" s="4">
        <v>914.88</v>
      </c>
      <c r="L52" t="s">
        <v>28</v>
      </c>
      <c r="M52" s="6" t="str">
        <f>VLOOKUP(PurchaseOrdersTable[[#This Row],[Supplier Code]],SupplierMasterTable[[Supplier Code]:[Supplier Name]],2,)</f>
        <v>CleanWorks Industrial</v>
      </c>
      <c r="N52" s="6" t="str">
        <f>VLOOKUP(PurchaseOrdersTable[[#This Row],[Product Code]],ProductMasterTable[[Product Code]:[Product Name]],2,)</f>
        <v>Industrial Wipes - Carton</v>
      </c>
      <c r="O52" s="6" t="str">
        <f>VLOOKUP(PurchaseOrdersTable[[#This Row],[Product Code]],ProductMasterTable[[#All],[Product Code]:[Category]],3,)</f>
        <v>Cleaning and Consumables</v>
      </c>
      <c r="P52" s="7">
        <f>PurchaseOrdersTable[[#This Row],[Qty Ordered]]*PurchaseOrdersTable[[#This Row],[Unit Price (₹)]]</f>
        <v>54892.800000000003</v>
      </c>
      <c r="Q52" s="8">
        <f>PurchaseOrdersTable[[#This Row],[Delivery Date]]-PurchaseOrdersTable[[#This Row],[Order Date]]</f>
        <v>10</v>
      </c>
      <c r="R52" s="8">
        <f>MAX(0, PurchaseOrdersTable[[#This Row],[Delivery Date]]-PurchaseOrdersTable[[#This Row],[Promised Date]])</f>
        <v>2</v>
      </c>
      <c r="S52" s="9">
        <f>PurchaseOrdersTable[[#This Row],[Rejected Qty]]/PurchaseOrdersTable[[#This Row],[Qty Received]]</f>
        <v>1.6666666666666666E-2</v>
      </c>
      <c r="T52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53" spans="1:20">
      <c r="A53" t="s">
        <v>107</v>
      </c>
      <c r="B53" s="2">
        <v>46084</v>
      </c>
      <c r="C53" s="2">
        <v>46090</v>
      </c>
      <c r="D53" s="2">
        <v>46090</v>
      </c>
      <c r="E53" t="s">
        <v>25</v>
      </c>
      <c r="F53" t="s">
        <v>87</v>
      </c>
      <c r="G53" t="s">
        <v>108</v>
      </c>
      <c r="H53" s="3">
        <v>140</v>
      </c>
      <c r="I53" s="3">
        <v>140</v>
      </c>
      <c r="J53" s="3">
        <v>3</v>
      </c>
      <c r="K53" s="4">
        <v>1706.07</v>
      </c>
      <c r="L53" t="s">
        <v>61</v>
      </c>
      <c r="M53" s="6" t="str">
        <f>VLOOKUP(PurchaseOrdersTable[[#This Row],[Supplier Code]],SupplierMasterTable[[Supplier Code]:[Supplier Name]],2,)</f>
        <v>CleanWorks Industrial</v>
      </c>
      <c r="N53" s="6" t="str">
        <f>VLOOKUP(PurchaseOrdersTable[[#This Row],[Product Code]],ProductMasterTable[[Product Code]:[Product Name]],2,)</f>
        <v>Chemical Absorbent Pads - Pack</v>
      </c>
      <c r="O53" s="6" t="str">
        <f>VLOOKUP(PurchaseOrdersTable[[#This Row],[Product Code]],ProductMasterTable[[#All],[Product Code]:[Category]],3,)</f>
        <v>Cleaning and Consumables</v>
      </c>
      <c r="P53" s="7">
        <f>PurchaseOrdersTable[[#This Row],[Qty Ordered]]*PurchaseOrdersTable[[#This Row],[Unit Price (₹)]]</f>
        <v>238849.8</v>
      </c>
      <c r="Q53" s="8">
        <f>PurchaseOrdersTable[[#This Row],[Delivery Date]]-PurchaseOrdersTable[[#This Row],[Order Date]]</f>
        <v>6</v>
      </c>
      <c r="R53" s="8">
        <f>MAX(0, PurchaseOrdersTable[[#This Row],[Delivery Date]]-PurchaseOrdersTable[[#This Row],[Promised Date]])</f>
        <v>0</v>
      </c>
      <c r="S53" s="9">
        <f>PurchaseOrdersTable[[#This Row],[Rejected Qty]]/PurchaseOrdersTable[[#This Row],[Qty Received]]</f>
        <v>2.1428571428571429E-2</v>
      </c>
      <c r="T53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54" spans="1:20">
      <c r="A54" t="s">
        <v>109</v>
      </c>
      <c r="B54" s="2">
        <v>46099</v>
      </c>
      <c r="C54" s="2">
        <v>46108</v>
      </c>
      <c r="D54" s="2">
        <v>46107</v>
      </c>
      <c r="E54" t="s">
        <v>30</v>
      </c>
      <c r="F54" t="s">
        <v>69</v>
      </c>
      <c r="G54" t="s">
        <v>46</v>
      </c>
      <c r="H54" s="3">
        <v>180</v>
      </c>
      <c r="I54" s="3">
        <v>180</v>
      </c>
      <c r="J54" s="3">
        <v>0</v>
      </c>
      <c r="K54" s="4">
        <v>1762.81</v>
      </c>
      <c r="L54" t="s">
        <v>28</v>
      </c>
      <c r="M54" s="6" t="str">
        <f>VLOOKUP(PurchaseOrdersTable[[#This Row],[Supplier Code]],SupplierMasterTable[[Supplier Code]:[Supplier Name]],2,)</f>
        <v>Vertex Electricals</v>
      </c>
      <c r="N54" s="6" t="str">
        <f>VLOOKUP(PurchaseOrdersTable[[#This Row],[Product Code]],ProductMasterTable[[Product Code]:[Product Name]],2,)</f>
        <v>Industrial LED High-Bay Light</v>
      </c>
      <c r="O54" s="6" t="str">
        <f>VLOOKUP(PurchaseOrdersTable[[#This Row],[Product Code]],ProductMasterTable[[#All],[Product Code]:[Category]],3,)</f>
        <v>Electricals</v>
      </c>
      <c r="P54" s="7">
        <f>PurchaseOrdersTable[[#This Row],[Qty Ordered]]*PurchaseOrdersTable[[#This Row],[Unit Price (₹)]]</f>
        <v>317305.8</v>
      </c>
      <c r="Q54" s="8">
        <f>PurchaseOrdersTable[[#This Row],[Delivery Date]]-PurchaseOrdersTable[[#This Row],[Order Date]]</f>
        <v>8</v>
      </c>
      <c r="R54" s="8">
        <f>MAX(0, PurchaseOrdersTable[[#This Row],[Delivery Date]]-PurchaseOrdersTable[[#This Row],[Promised Date]])</f>
        <v>0</v>
      </c>
      <c r="S54" s="9">
        <f>PurchaseOrdersTable[[#This Row],[Rejected Qty]]/PurchaseOrdersTable[[#This Row],[Qty Received]]</f>
        <v>0</v>
      </c>
      <c r="T54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55" spans="1:20">
      <c r="A55" t="s">
        <v>110</v>
      </c>
      <c r="B55" s="2">
        <v>46093</v>
      </c>
      <c r="C55" s="2">
        <v>46101</v>
      </c>
      <c r="D55" s="2">
        <v>46102</v>
      </c>
      <c r="E55" t="s">
        <v>34</v>
      </c>
      <c r="F55" t="s">
        <v>35</v>
      </c>
      <c r="G55" t="s">
        <v>102</v>
      </c>
      <c r="H55" s="3">
        <v>30</v>
      </c>
      <c r="I55" s="3">
        <v>30</v>
      </c>
      <c r="J55" s="3">
        <v>0</v>
      </c>
      <c r="K55" s="4">
        <v>6122.34</v>
      </c>
      <c r="L55" t="s">
        <v>28</v>
      </c>
      <c r="M55" s="6" t="str">
        <f>VLOOKUP(PurchaseOrdersTable[[#This Row],[Supplier Code]],SupplierMasterTable[[Supplier Code]:[Supplier Name]],2,)</f>
        <v>Western MRO Hub</v>
      </c>
      <c r="N55" s="6" t="str">
        <f>VLOOKUP(PurchaseOrdersTable[[#This Row],[Product Code]],ProductMasterTable[[Product Code]:[Product Name]],2,)</f>
        <v>Heavy-Duty Drill Machine</v>
      </c>
      <c r="O55" s="6" t="str">
        <f>VLOOKUP(PurchaseOrdersTable[[#This Row],[Product Code]],ProductMasterTable[[#All],[Product Code]:[Category]],3,)</f>
        <v>Hand Tools</v>
      </c>
      <c r="P55" s="7">
        <f>PurchaseOrdersTable[[#This Row],[Qty Ordered]]*PurchaseOrdersTable[[#This Row],[Unit Price (₹)]]</f>
        <v>183670.2</v>
      </c>
      <c r="Q55" s="8">
        <f>PurchaseOrdersTable[[#This Row],[Delivery Date]]-PurchaseOrdersTable[[#This Row],[Order Date]]</f>
        <v>9</v>
      </c>
      <c r="R55" s="8">
        <f>MAX(0, PurchaseOrdersTable[[#This Row],[Delivery Date]]-PurchaseOrdersTable[[#This Row],[Promised Date]])</f>
        <v>1</v>
      </c>
      <c r="S55" s="9">
        <f>PurchaseOrdersTable[[#This Row],[Rejected Qty]]/PurchaseOrdersTable[[#This Row],[Qty Received]]</f>
        <v>0</v>
      </c>
      <c r="T55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56" spans="1:20">
      <c r="A56" t="s">
        <v>111</v>
      </c>
      <c r="B56" s="2">
        <v>46183</v>
      </c>
      <c r="C56" s="2">
        <v>46195</v>
      </c>
      <c r="D56" s="2">
        <v>46197</v>
      </c>
      <c r="E56" t="s">
        <v>38</v>
      </c>
      <c r="F56" t="s">
        <v>45</v>
      </c>
      <c r="G56" t="s">
        <v>55</v>
      </c>
      <c r="H56" s="3">
        <v>480</v>
      </c>
      <c r="I56" s="3">
        <v>469</v>
      </c>
      <c r="J56" s="3">
        <v>25</v>
      </c>
      <c r="K56" s="4">
        <v>2643.72</v>
      </c>
      <c r="L56" t="s">
        <v>28</v>
      </c>
      <c r="M56" s="6" t="str">
        <f>VLOOKUP(PurchaseOrdersTable[[#This Row],[Supplier Code]],SupplierMasterTable[[Supplier Code]:[Supplier Name]],2,)</f>
        <v>Eastern Engineering Traders</v>
      </c>
      <c r="N56" s="6" t="str">
        <f>VLOOKUP(PurchaseOrdersTable[[#This Row],[Product Code]],ProductMasterTable[[Product Code]:[Product Name]],2,)</f>
        <v>Industrial Roller Bearing</v>
      </c>
      <c r="O56" s="6" t="str">
        <f>VLOOKUP(PurchaseOrdersTable[[#This Row],[Product Code]],ProductMasterTable[[#All],[Product Code]:[Category]],3,)</f>
        <v>Bearings and Mechanical</v>
      </c>
      <c r="P56" s="7">
        <f>PurchaseOrdersTable[[#This Row],[Qty Ordered]]*PurchaseOrdersTable[[#This Row],[Unit Price (₹)]]</f>
        <v>1268985.5999999999</v>
      </c>
      <c r="Q56" s="8">
        <f>PurchaseOrdersTable[[#This Row],[Delivery Date]]-PurchaseOrdersTable[[#This Row],[Order Date]]</f>
        <v>14</v>
      </c>
      <c r="R56" s="8">
        <f>MAX(0, PurchaseOrdersTable[[#This Row],[Delivery Date]]-PurchaseOrdersTable[[#This Row],[Promised Date]])</f>
        <v>2</v>
      </c>
      <c r="S56" s="9">
        <f>PurchaseOrdersTable[[#This Row],[Rejected Qty]]/PurchaseOrdersTable[[#This Row],[Qty Received]]</f>
        <v>5.3304904051172705E-2</v>
      </c>
      <c r="T56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57" spans="1:20">
      <c r="A57" t="s">
        <v>112</v>
      </c>
      <c r="B57" s="2">
        <v>46103</v>
      </c>
      <c r="C57" s="2">
        <v>46112</v>
      </c>
      <c r="D57" s="2">
        <v>46116</v>
      </c>
      <c r="E57" t="s">
        <v>25</v>
      </c>
      <c r="F57" t="s">
        <v>26</v>
      </c>
      <c r="G57" t="s">
        <v>82</v>
      </c>
      <c r="H57" s="3">
        <v>320</v>
      </c>
      <c r="I57" s="3">
        <v>314</v>
      </c>
      <c r="J57" s="3">
        <v>10</v>
      </c>
      <c r="K57" s="4">
        <v>2911.51</v>
      </c>
      <c r="L57" t="s">
        <v>28</v>
      </c>
      <c r="M57" s="6" t="str">
        <f>VLOOKUP(PurchaseOrdersTable[[#This Row],[Supplier Code]],SupplierMasterTable[[Supplier Code]:[Supplier Name]],2,)</f>
        <v>ProServe MRO Solutions</v>
      </c>
      <c r="N57" s="6" t="str">
        <f>VLOOKUP(PurchaseOrdersTable[[#This Row],[Product Code]],ProductMasterTable[[Product Code]:[Product Name]],2,)</f>
        <v>Industrial Degreaser - 20 L</v>
      </c>
      <c r="O57" s="6" t="str">
        <f>VLOOKUP(PurchaseOrdersTable[[#This Row],[Product Code]],ProductMasterTable[[#All],[Product Code]:[Category]],3,)</f>
        <v>Cleaning and Consumables</v>
      </c>
      <c r="P57" s="7">
        <f>PurchaseOrdersTable[[#This Row],[Qty Ordered]]*PurchaseOrdersTable[[#This Row],[Unit Price (₹)]]</f>
        <v>931683.20000000007</v>
      </c>
      <c r="Q57" s="8">
        <f>PurchaseOrdersTable[[#This Row],[Delivery Date]]-PurchaseOrdersTable[[#This Row],[Order Date]]</f>
        <v>13</v>
      </c>
      <c r="R57" s="8">
        <f>MAX(0, PurchaseOrdersTable[[#This Row],[Delivery Date]]-PurchaseOrdersTable[[#This Row],[Promised Date]])</f>
        <v>4</v>
      </c>
      <c r="S57" s="9">
        <f>PurchaseOrdersTable[[#This Row],[Rejected Qty]]/PurchaseOrdersTable[[#This Row],[Qty Received]]</f>
        <v>3.1847133757961783E-2</v>
      </c>
      <c r="T57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58" spans="1:20">
      <c r="A58" t="s">
        <v>113</v>
      </c>
      <c r="B58" s="2">
        <v>46092</v>
      </c>
      <c r="C58" s="2">
        <v>46099</v>
      </c>
      <c r="D58" s="2">
        <v>46105</v>
      </c>
      <c r="E58" t="s">
        <v>30</v>
      </c>
      <c r="F58" t="s">
        <v>26</v>
      </c>
      <c r="G58" t="s">
        <v>50</v>
      </c>
      <c r="H58" s="3">
        <v>110</v>
      </c>
      <c r="I58" s="3">
        <v>110</v>
      </c>
      <c r="J58" s="3">
        <v>4</v>
      </c>
      <c r="K58" s="4">
        <v>3874.81</v>
      </c>
      <c r="L58" t="s">
        <v>61</v>
      </c>
      <c r="M58" s="6" t="str">
        <f>VLOOKUP(PurchaseOrdersTable[[#This Row],[Supplier Code]],SupplierMasterTable[[Supplier Code]:[Supplier Name]],2,)</f>
        <v>ProServe MRO Solutions</v>
      </c>
      <c r="N58" s="6" t="str">
        <f>VLOOKUP(PurchaseOrdersTable[[#This Row],[Product Code]],ProductMasterTable[[Product Code]:[Product Name]],2,)</f>
        <v>Industrial Angle Grinder</v>
      </c>
      <c r="O58" s="6" t="str">
        <f>VLOOKUP(PurchaseOrdersTable[[#This Row],[Product Code]],ProductMasterTable[[#All],[Product Code]:[Category]],3,)</f>
        <v>Hand Tools</v>
      </c>
      <c r="P58" s="7">
        <f>PurchaseOrdersTable[[#This Row],[Qty Ordered]]*PurchaseOrdersTable[[#This Row],[Unit Price (₹)]]</f>
        <v>426229.1</v>
      </c>
      <c r="Q58" s="8">
        <f>PurchaseOrdersTable[[#This Row],[Delivery Date]]-PurchaseOrdersTable[[#This Row],[Order Date]]</f>
        <v>13</v>
      </c>
      <c r="R58" s="8">
        <f>MAX(0, PurchaseOrdersTable[[#This Row],[Delivery Date]]-PurchaseOrdersTable[[#This Row],[Promised Date]])</f>
        <v>6</v>
      </c>
      <c r="S58" s="9">
        <f>PurchaseOrdersTable[[#This Row],[Rejected Qty]]/PurchaseOrdersTable[[#This Row],[Qty Received]]</f>
        <v>3.6363636363636362E-2</v>
      </c>
      <c r="T58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59" spans="1:20">
      <c r="A59" t="s">
        <v>114</v>
      </c>
      <c r="B59" s="2">
        <v>46148</v>
      </c>
      <c r="C59" s="2">
        <v>46153</v>
      </c>
      <c r="D59" s="2">
        <v>46157</v>
      </c>
      <c r="E59" t="s">
        <v>34</v>
      </c>
      <c r="F59" t="s">
        <v>57</v>
      </c>
      <c r="G59" t="s">
        <v>58</v>
      </c>
      <c r="H59" s="3">
        <v>1800</v>
      </c>
      <c r="I59" s="3">
        <v>1756</v>
      </c>
      <c r="J59" s="3">
        <v>103</v>
      </c>
      <c r="K59" s="4">
        <v>279.66000000000003</v>
      </c>
      <c r="L59" t="s">
        <v>28</v>
      </c>
      <c r="M59" s="6" t="str">
        <f>VLOOKUP(PurchaseOrdersTable[[#This Row],[Supplier Code]],SupplierMasterTable[[Supplier Code]:[Supplier Name]],2,)</f>
        <v>Metro Industrial Mart</v>
      </c>
      <c r="N59" s="6" t="str">
        <f>VLOOKUP(PurchaseOrdersTable[[#This Row],[Product Code]],ProductMasterTable[[Product Code]:[Product Name]],2,)</f>
        <v>Safety Goggles</v>
      </c>
      <c r="O59" s="6" t="str">
        <f>VLOOKUP(PurchaseOrdersTable[[#This Row],[Product Code]],ProductMasterTable[[#All],[Product Code]:[Category]],3,)</f>
        <v>Safety and PPE</v>
      </c>
      <c r="P59" s="7">
        <f>PurchaseOrdersTable[[#This Row],[Qty Ordered]]*PurchaseOrdersTable[[#This Row],[Unit Price (₹)]]</f>
        <v>503388.00000000006</v>
      </c>
      <c r="Q59" s="8">
        <f>PurchaseOrdersTable[[#This Row],[Delivery Date]]-PurchaseOrdersTable[[#This Row],[Order Date]]</f>
        <v>9</v>
      </c>
      <c r="R59" s="8">
        <f>MAX(0, PurchaseOrdersTable[[#This Row],[Delivery Date]]-PurchaseOrdersTable[[#This Row],[Promised Date]])</f>
        <v>4</v>
      </c>
      <c r="S59" s="9">
        <f>PurchaseOrdersTable[[#This Row],[Rejected Qty]]/PurchaseOrdersTable[[#This Row],[Qty Received]]</f>
        <v>5.8656036446469245E-2</v>
      </c>
      <c r="T59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60" spans="1:20">
      <c r="A60" t="s">
        <v>115</v>
      </c>
      <c r="B60" s="2">
        <v>46102</v>
      </c>
      <c r="C60" s="2">
        <v>46114</v>
      </c>
      <c r="D60" s="2">
        <v>46122</v>
      </c>
      <c r="E60" t="s">
        <v>38</v>
      </c>
      <c r="F60" t="s">
        <v>45</v>
      </c>
      <c r="G60" t="s">
        <v>32</v>
      </c>
      <c r="H60" s="3">
        <v>260</v>
      </c>
      <c r="I60" s="3">
        <v>255</v>
      </c>
      <c r="J60" s="3">
        <v>13</v>
      </c>
      <c r="K60" s="4">
        <v>1364.07</v>
      </c>
      <c r="L60" t="s">
        <v>28</v>
      </c>
      <c r="M60" s="6" t="str">
        <f>VLOOKUP(PurchaseOrdersTable[[#This Row],[Supplier Code]],SupplierMasterTable[[Supplier Code]:[Supplier Name]],2,)</f>
        <v>Eastern Engineering Traders</v>
      </c>
      <c r="N60" s="6" t="str">
        <f>VLOOKUP(PurchaseOrdersTable[[#This Row],[Product Code]],ProductMasterTable[[Product Code]:[Product Name]],2,)</f>
        <v>Heavy-Duty Industrial Belt</v>
      </c>
      <c r="O60" s="6" t="str">
        <f>VLOOKUP(PurchaseOrdersTable[[#This Row],[Product Code]],ProductMasterTable[[#All],[Product Code]:[Category]],3,)</f>
        <v>Bearings and Mechanical</v>
      </c>
      <c r="P60" s="7">
        <f>PurchaseOrdersTable[[#This Row],[Qty Ordered]]*PurchaseOrdersTable[[#This Row],[Unit Price (₹)]]</f>
        <v>354658.2</v>
      </c>
      <c r="Q60" s="8">
        <f>PurchaseOrdersTable[[#This Row],[Delivery Date]]-PurchaseOrdersTable[[#This Row],[Order Date]]</f>
        <v>20</v>
      </c>
      <c r="R60" s="8">
        <f>MAX(0, PurchaseOrdersTable[[#This Row],[Delivery Date]]-PurchaseOrdersTable[[#This Row],[Promised Date]])</f>
        <v>8</v>
      </c>
      <c r="S60" s="9">
        <f>PurchaseOrdersTable[[#This Row],[Rejected Qty]]/PurchaseOrdersTable[[#This Row],[Qty Received]]</f>
        <v>5.0980392156862744E-2</v>
      </c>
      <c r="T60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61" spans="1:20">
      <c r="A61" t="s">
        <v>116</v>
      </c>
      <c r="B61" s="2">
        <v>46193</v>
      </c>
      <c r="C61" s="2">
        <v>46200</v>
      </c>
      <c r="D61" s="2">
        <v>46203</v>
      </c>
      <c r="E61" t="s">
        <v>25</v>
      </c>
      <c r="F61" t="s">
        <v>26</v>
      </c>
      <c r="G61" t="s">
        <v>108</v>
      </c>
      <c r="H61" s="3">
        <v>160</v>
      </c>
      <c r="I61" s="3">
        <v>158</v>
      </c>
      <c r="J61" s="3">
        <v>9</v>
      </c>
      <c r="K61" s="4">
        <v>1675.36</v>
      </c>
      <c r="L61" t="s">
        <v>61</v>
      </c>
      <c r="M61" s="6" t="str">
        <f>VLOOKUP(PurchaseOrdersTable[[#This Row],[Supplier Code]],SupplierMasterTable[[Supplier Code]:[Supplier Name]],2,)</f>
        <v>ProServe MRO Solutions</v>
      </c>
      <c r="N61" s="6" t="str">
        <f>VLOOKUP(PurchaseOrdersTable[[#This Row],[Product Code]],ProductMasterTable[[Product Code]:[Product Name]],2,)</f>
        <v>Chemical Absorbent Pads - Pack</v>
      </c>
      <c r="O61" s="6" t="str">
        <f>VLOOKUP(PurchaseOrdersTable[[#This Row],[Product Code]],ProductMasterTable[[#All],[Product Code]:[Category]],3,)</f>
        <v>Cleaning and Consumables</v>
      </c>
      <c r="P61" s="7">
        <f>PurchaseOrdersTable[[#This Row],[Qty Ordered]]*PurchaseOrdersTable[[#This Row],[Unit Price (₹)]]</f>
        <v>268057.59999999998</v>
      </c>
      <c r="Q61" s="8">
        <f>PurchaseOrdersTable[[#This Row],[Delivery Date]]-PurchaseOrdersTable[[#This Row],[Order Date]]</f>
        <v>10</v>
      </c>
      <c r="R61" s="8">
        <f>MAX(0, PurchaseOrdersTable[[#This Row],[Delivery Date]]-PurchaseOrdersTable[[#This Row],[Promised Date]])</f>
        <v>3</v>
      </c>
      <c r="S61" s="9">
        <f>PurchaseOrdersTable[[#This Row],[Rejected Qty]]/PurchaseOrdersTable[[#This Row],[Qty Received]]</f>
        <v>5.6962025316455694E-2</v>
      </c>
      <c r="T61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62" spans="1:20">
      <c r="A62" t="s">
        <v>117</v>
      </c>
      <c r="B62" s="2">
        <v>46085</v>
      </c>
      <c r="C62" s="2">
        <v>46094</v>
      </c>
      <c r="D62" s="2">
        <v>46097</v>
      </c>
      <c r="E62" t="s">
        <v>30</v>
      </c>
      <c r="F62" t="s">
        <v>26</v>
      </c>
      <c r="G62" t="s">
        <v>48</v>
      </c>
      <c r="H62" s="3">
        <v>100</v>
      </c>
      <c r="I62" s="3">
        <v>100</v>
      </c>
      <c r="J62" s="3">
        <v>2</v>
      </c>
      <c r="K62" s="4">
        <v>4478.43</v>
      </c>
      <c r="L62" t="s">
        <v>28</v>
      </c>
      <c r="M62" s="6" t="str">
        <f>VLOOKUP(PurchaseOrdersTable[[#This Row],[Supplier Code]],SupplierMasterTable[[Supplier Code]:[Supplier Name]],2,)</f>
        <v>ProServe MRO Solutions</v>
      </c>
      <c r="N62" s="6" t="str">
        <f>VLOOKUP(PurchaseOrdersTable[[#This Row],[Product Code]],ProductMasterTable[[Product Code]:[Product Name]],2,)</f>
        <v>Industrial Torque Wrench</v>
      </c>
      <c r="O62" s="6" t="str">
        <f>VLOOKUP(PurchaseOrdersTable[[#This Row],[Product Code]],ProductMasterTable[[#All],[Product Code]:[Category]],3,)</f>
        <v>Hand Tools</v>
      </c>
      <c r="P62" s="7">
        <f>PurchaseOrdersTable[[#This Row],[Qty Ordered]]*PurchaseOrdersTable[[#This Row],[Unit Price (₹)]]</f>
        <v>447843</v>
      </c>
      <c r="Q62" s="8">
        <f>PurchaseOrdersTable[[#This Row],[Delivery Date]]-PurchaseOrdersTable[[#This Row],[Order Date]]</f>
        <v>12</v>
      </c>
      <c r="R62" s="8">
        <f>MAX(0, PurchaseOrdersTable[[#This Row],[Delivery Date]]-PurchaseOrdersTable[[#This Row],[Promised Date]])</f>
        <v>3</v>
      </c>
      <c r="S62" s="9">
        <f>PurchaseOrdersTable[[#This Row],[Rejected Qty]]/PurchaseOrdersTable[[#This Row],[Qty Received]]</f>
        <v>0.02</v>
      </c>
      <c r="T62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63" spans="1:20">
      <c r="A63" t="s">
        <v>118</v>
      </c>
      <c r="B63" s="2">
        <v>46048</v>
      </c>
      <c r="C63" s="2">
        <v>46053</v>
      </c>
      <c r="D63" s="2">
        <v>46057</v>
      </c>
      <c r="E63" t="s">
        <v>34</v>
      </c>
      <c r="F63" t="s">
        <v>57</v>
      </c>
      <c r="G63" t="s">
        <v>82</v>
      </c>
      <c r="H63" s="3">
        <v>290</v>
      </c>
      <c r="I63" s="3">
        <v>286</v>
      </c>
      <c r="J63" s="3">
        <v>32</v>
      </c>
      <c r="K63" s="4">
        <v>2603.14</v>
      </c>
      <c r="L63" t="s">
        <v>28</v>
      </c>
      <c r="M63" s="6" t="str">
        <f>VLOOKUP(PurchaseOrdersTable[[#This Row],[Supplier Code]],SupplierMasterTable[[Supplier Code]:[Supplier Name]],2,)</f>
        <v>Metro Industrial Mart</v>
      </c>
      <c r="N63" s="6" t="str">
        <f>VLOOKUP(PurchaseOrdersTable[[#This Row],[Product Code]],ProductMasterTable[[Product Code]:[Product Name]],2,)</f>
        <v>Industrial Degreaser - 20 L</v>
      </c>
      <c r="O63" s="6" t="str">
        <f>VLOOKUP(PurchaseOrdersTable[[#This Row],[Product Code]],ProductMasterTable[[#All],[Product Code]:[Category]],3,)</f>
        <v>Cleaning and Consumables</v>
      </c>
      <c r="P63" s="7">
        <f>PurchaseOrdersTable[[#This Row],[Qty Ordered]]*PurchaseOrdersTable[[#This Row],[Unit Price (₹)]]</f>
        <v>754910.6</v>
      </c>
      <c r="Q63" s="8">
        <f>PurchaseOrdersTable[[#This Row],[Delivery Date]]-PurchaseOrdersTable[[#This Row],[Order Date]]</f>
        <v>9</v>
      </c>
      <c r="R63" s="8">
        <f>MAX(0, PurchaseOrdersTable[[#This Row],[Delivery Date]]-PurchaseOrdersTable[[#This Row],[Promised Date]])</f>
        <v>4</v>
      </c>
      <c r="S63" s="9">
        <f>PurchaseOrdersTable[[#This Row],[Rejected Qty]]/PurchaseOrdersTable[[#This Row],[Qty Received]]</f>
        <v>0.11188811188811189</v>
      </c>
      <c r="T63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64" spans="1:20">
      <c r="A64" t="s">
        <v>119</v>
      </c>
      <c r="B64" s="2">
        <v>46041</v>
      </c>
      <c r="C64" s="2">
        <v>46050</v>
      </c>
      <c r="D64" s="2">
        <v>46054</v>
      </c>
      <c r="E64" t="s">
        <v>38</v>
      </c>
      <c r="F64" t="s">
        <v>26</v>
      </c>
      <c r="G64" t="s">
        <v>102</v>
      </c>
      <c r="H64" s="3">
        <v>170</v>
      </c>
      <c r="I64" s="3">
        <v>169</v>
      </c>
      <c r="J64" s="3">
        <v>6</v>
      </c>
      <c r="K64" s="4">
        <v>6093.68</v>
      </c>
      <c r="L64" t="s">
        <v>28</v>
      </c>
      <c r="M64" s="6" t="str">
        <f>VLOOKUP(PurchaseOrdersTable[[#This Row],[Supplier Code]],SupplierMasterTable[[Supplier Code]:[Supplier Name]],2,)</f>
        <v>ProServe MRO Solutions</v>
      </c>
      <c r="N64" s="6" t="str">
        <f>VLOOKUP(PurchaseOrdersTable[[#This Row],[Product Code]],ProductMasterTable[[Product Code]:[Product Name]],2,)</f>
        <v>Heavy-Duty Drill Machine</v>
      </c>
      <c r="O64" s="6" t="str">
        <f>VLOOKUP(PurchaseOrdersTable[[#This Row],[Product Code]],ProductMasterTable[[#All],[Product Code]:[Category]],3,)</f>
        <v>Hand Tools</v>
      </c>
      <c r="P64" s="7">
        <f>PurchaseOrdersTable[[#This Row],[Qty Ordered]]*PurchaseOrdersTable[[#This Row],[Unit Price (₹)]]</f>
        <v>1035925.6000000001</v>
      </c>
      <c r="Q64" s="8">
        <f>PurchaseOrdersTable[[#This Row],[Delivery Date]]-PurchaseOrdersTable[[#This Row],[Order Date]]</f>
        <v>13</v>
      </c>
      <c r="R64" s="8">
        <f>MAX(0, PurchaseOrdersTable[[#This Row],[Delivery Date]]-PurchaseOrdersTable[[#This Row],[Promised Date]])</f>
        <v>4</v>
      </c>
      <c r="S64" s="9">
        <f>PurchaseOrdersTable[[#This Row],[Rejected Qty]]/PurchaseOrdersTable[[#This Row],[Qty Received]]</f>
        <v>3.5502958579881658E-2</v>
      </c>
      <c r="T64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65" spans="1:20">
      <c r="A65" t="s">
        <v>120</v>
      </c>
      <c r="B65" s="2">
        <v>46124</v>
      </c>
      <c r="C65" s="2">
        <v>46132</v>
      </c>
      <c r="D65" s="2">
        <v>46131</v>
      </c>
      <c r="E65" t="s">
        <v>25</v>
      </c>
      <c r="F65" t="s">
        <v>87</v>
      </c>
      <c r="G65" t="s">
        <v>82</v>
      </c>
      <c r="H65" s="3">
        <v>120</v>
      </c>
      <c r="I65" s="3">
        <v>120</v>
      </c>
      <c r="J65" s="3">
        <v>2</v>
      </c>
      <c r="K65" s="4">
        <v>3103.88</v>
      </c>
      <c r="L65" t="s">
        <v>28</v>
      </c>
      <c r="M65" s="6" t="str">
        <f>VLOOKUP(PurchaseOrdersTable[[#This Row],[Supplier Code]],SupplierMasterTable[[Supplier Code]:[Supplier Name]],2,)</f>
        <v>CleanWorks Industrial</v>
      </c>
      <c r="N65" s="6" t="str">
        <f>VLOOKUP(PurchaseOrdersTable[[#This Row],[Product Code]],ProductMasterTable[[Product Code]:[Product Name]],2,)</f>
        <v>Industrial Degreaser - 20 L</v>
      </c>
      <c r="O65" s="6" t="str">
        <f>VLOOKUP(PurchaseOrdersTable[[#This Row],[Product Code]],ProductMasterTable[[#All],[Product Code]:[Category]],3,)</f>
        <v>Cleaning and Consumables</v>
      </c>
      <c r="P65" s="7">
        <f>PurchaseOrdersTable[[#This Row],[Qty Ordered]]*PurchaseOrdersTable[[#This Row],[Unit Price (₹)]]</f>
        <v>372465.60000000003</v>
      </c>
      <c r="Q65" s="8">
        <f>PurchaseOrdersTable[[#This Row],[Delivery Date]]-PurchaseOrdersTable[[#This Row],[Order Date]]</f>
        <v>7</v>
      </c>
      <c r="R65" s="8">
        <f>MAX(0, PurchaseOrdersTable[[#This Row],[Delivery Date]]-PurchaseOrdersTable[[#This Row],[Promised Date]])</f>
        <v>0</v>
      </c>
      <c r="S65" s="9">
        <f>PurchaseOrdersTable[[#This Row],[Rejected Qty]]/PurchaseOrdersTable[[#This Row],[Qty Received]]</f>
        <v>1.6666666666666666E-2</v>
      </c>
      <c r="T65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66" spans="1:20">
      <c r="A66" t="s">
        <v>121</v>
      </c>
      <c r="B66" s="2">
        <v>46124</v>
      </c>
      <c r="C66" s="2">
        <v>46129</v>
      </c>
      <c r="D66" s="2">
        <v>46136</v>
      </c>
      <c r="E66" t="s">
        <v>30</v>
      </c>
      <c r="F66" t="s">
        <v>57</v>
      </c>
      <c r="G66" t="s">
        <v>108</v>
      </c>
      <c r="H66" s="3">
        <v>110</v>
      </c>
      <c r="I66" s="3">
        <v>107</v>
      </c>
      <c r="J66" s="3">
        <v>9</v>
      </c>
      <c r="K66" s="4">
        <v>1440.19</v>
      </c>
      <c r="L66" t="s">
        <v>28</v>
      </c>
      <c r="M66" s="6" t="str">
        <f>VLOOKUP(PurchaseOrdersTable[[#This Row],[Supplier Code]],SupplierMasterTable[[Supplier Code]:[Supplier Name]],2,)</f>
        <v>Metro Industrial Mart</v>
      </c>
      <c r="N66" s="6" t="str">
        <f>VLOOKUP(PurchaseOrdersTable[[#This Row],[Product Code]],ProductMasterTable[[Product Code]:[Product Name]],2,)</f>
        <v>Chemical Absorbent Pads - Pack</v>
      </c>
      <c r="O66" s="6" t="str">
        <f>VLOOKUP(PurchaseOrdersTable[[#This Row],[Product Code]],ProductMasterTable[[#All],[Product Code]:[Category]],3,)</f>
        <v>Cleaning and Consumables</v>
      </c>
      <c r="P66" s="7">
        <f>PurchaseOrdersTable[[#This Row],[Qty Ordered]]*PurchaseOrdersTable[[#This Row],[Unit Price (₹)]]</f>
        <v>158420.9</v>
      </c>
      <c r="Q66" s="8">
        <f>PurchaseOrdersTable[[#This Row],[Delivery Date]]-PurchaseOrdersTable[[#This Row],[Order Date]]</f>
        <v>12</v>
      </c>
      <c r="R66" s="8">
        <f>MAX(0, PurchaseOrdersTable[[#This Row],[Delivery Date]]-PurchaseOrdersTable[[#This Row],[Promised Date]])</f>
        <v>7</v>
      </c>
      <c r="S66" s="9">
        <f>PurchaseOrdersTable[[#This Row],[Rejected Qty]]/PurchaseOrdersTable[[#This Row],[Qty Received]]</f>
        <v>8.4112149532710276E-2</v>
      </c>
      <c r="T66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67" spans="1:20">
      <c r="A67" t="s">
        <v>122</v>
      </c>
      <c r="B67" s="2">
        <v>46116</v>
      </c>
      <c r="C67" s="2">
        <v>46125</v>
      </c>
      <c r="D67" s="2">
        <v>46127</v>
      </c>
      <c r="E67" t="s">
        <v>34</v>
      </c>
      <c r="F67" t="s">
        <v>26</v>
      </c>
      <c r="G67" t="s">
        <v>27</v>
      </c>
      <c r="H67" s="3">
        <v>1950</v>
      </c>
      <c r="I67" s="3">
        <v>1927</v>
      </c>
      <c r="J67" s="3">
        <v>33</v>
      </c>
      <c r="K67" s="4">
        <v>519.03</v>
      </c>
      <c r="L67" t="s">
        <v>28</v>
      </c>
      <c r="M67" s="6" t="str">
        <f>VLOOKUP(PurchaseOrdersTable[[#This Row],[Supplier Code]],SupplierMasterTable[[Supplier Code]:[Supplier Name]],2,)</f>
        <v>ProServe MRO Solutions</v>
      </c>
      <c r="N67" s="6" t="str">
        <f>VLOOKUP(PurchaseOrdersTable[[#This Row],[Product Code]],ProductMasterTable[[Product Code]:[Product Name]],2,)</f>
        <v>Reflective Safety Jacket</v>
      </c>
      <c r="O67" s="6" t="str">
        <f>VLOOKUP(PurchaseOrdersTable[[#This Row],[Product Code]],ProductMasterTable[[#All],[Product Code]:[Category]],3,)</f>
        <v>Safety and PPE</v>
      </c>
      <c r="P67" s="7">
        <f>PurchaseOrdersTable[[#This Row],[Qty Ordered]]*PurchaseOrdersTable[[#This Row],[Unit Price (₹)]]</f>
        <v>1012108.5</v>
      </c>
      <c r="Q67" s="8">
        <f>PurchaseOrdersTable[[#This Row],[Delivery Date]]-PurchaseOrdersTable[[#This Row],[Order Date]]</f>
        <v>11</v>
      </c>
      <c r="R67" s="8">
        <f>MAX(0, PurchaseOrdersTable[[#This Row],[Delivery Date]]-PurchaseOrdersTable[[#This Row],[Promised Date]])</f>
        <v>2</v>
      </c>
      <c r="S67" s="9">
        <f>PurchaseOrdersTable[[#This Row],[Rejected Qty]]/PurchaseOrdersTable[[#This Row],[Qty Received]]</f>
        <v>1.7125064867669952E-2</v>
      </c>
      <c r="T67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68" spans="1:20">
      <c r="A68" t="s">
        <v>123</v>
      </c>
      <c r="B68" s="2">
        <v>46090</v>
      </c>
      <c r="C68" s="2">
        <v>46099</v>
      </c>
      <c r="D68" s="2">
        <v>46103</v>
      </c>
      <c r="E68" t="s">
        <v>38</v>
      </c>
      <c r="F68" t="s">
        <v>26</v>
      </c>
      <c r="G68" t="s">
        <v>82</v>
      </c>
      <c r="H68" s="3">
        <v>110</v>
      </c>
      <c r="I68" s="3">
        <v>110</v>
      </c>
      <c r="J68" s="3">
        <v>1</v>
      </c>
      <c r="K68" s="4">
        <v>3054.34</v>
      </c>
      <c r="L68" t="s">
        <v>28</v>
      </c>
      <c r="M68" s="6" t="str">
        <f>VLOOKUP(PurchaseOrdersTable[[#This Row],[Supplier Code]],SupplierMasterTable[[Supplier Code]:[Supplier Name]],2,)</f>
        <v>ProServe MRO Solutions</v>
      </c>
      <c r="N68" s="6" t="str">
        <f>VLOOKUP(PurchaseOrdersTable[[#This Row],[Product Code]],ProductMasterTable[[Product Code]:[Product Name]],2,)</f>
        <v>Industrial Degreaser - 20 L</v>
      </c>
      <c r="O68" s="6" t="str">
        <f>VLOOKUP(PurchaseOrdersTable[[#This Row],[Product Code]],ProductMasterTable[[#All],[Product Code]:[Category]],3,)</f>
        <v>Cleaning and Consumables</v>
      </c>
      <c r="P68" s="7">
        <f>PurchaseOrdersTable[[#This Row],[Qty Ordered]]*PurchaseOrdersTable[[#This Row],[Unit Price (₹)]]</f>
        <v>335977.4</v>
      </c>
      <c r="Q68" s="8">
        <f>PurchaseOrdersTable[[#This Row],[Delivery Date]]-PurchaseOrdersTable[[#This Row],[Order Date]]</f>
        <v>13</v>
      </c>
      <c r="R68" s="8">
        <f>MAX(0, PurchaseOrdersTable[[#This Row],[Delivery Date]]-PurchaseOrdersTable[[#This Row],[Promised Date]])</f>
        <v>4</v>
      </c>
      <c r="S68" s="9">
        <f>PurchaseOrdersTable[[#This Row],[Rejected Qty]]/PurchaseOrdersTable[[#This Row],[Qty Received]]</f>
        <v>9.0909090909090905E-3</v>
      </c>
      <c r="T68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69" spans="1:20">
      <c r="A69" t="s">
        <v>124</v>
      </c>
      <c r="B69" s="2">
        <v>46075</v>
      </c>
      <c r="C69" s="2">
        <v>46080</v>
      </c>
      <c r="D69" s="2">
        <v>46084</v>
      </c>
      <c r="E69" t="s">
        <v>25</v>
      </c>
      <c r="F69" t="s">
        <v>57</v>
      </c>
      <c r="G69" t="s">
        <v>27</v>
      </c>
      <c r="H69" s="3">
        <v>1700</v>
      </c>
      <c r="I69" s="3">
        <v>1642</v>
      </c>
      <c r="J69" s="3">
        <v>34</v>
      </c>
      <c r="K69" s="4">
        <v>490.12</v>
      </c>
      <c r="L69" t="s">
        <v>28</v>
      </c>
      <c r="M69" s="6" t="str">
        <f>VLOOKUP(PurchaseOrdersTable[[#This Row],[Supplier Code]],SupplierMasterTable[[Supplier Code]:[Supplier Name]],2,)</f>
        <v>Metro Industrial Mart</v>
      </c>
      <c r="N69" s="6" t="str">
        <f>VLOOKUP(PurchaseOrdersTable[[#This Row],[Product Code]],ProductMasterTable[[Product Code]:[Product Name]],2,)</f>
        <v>Reflective Safety Jacket</v>
      </c>
      <c r="O69" s="6" t="str">
        <f>VLOOKUP(PurchaseOrdersTable[[#This Row],[Product Code]],ProductMasterTable[[#All],[Product Code]:[Category]],3,)</f>
        <v>Safety and PPE</v>
      </c>
      <c r="P69" s="7">
        <f>PurchaseOrdersTable[[#This Row],[Qty Ordered]]*PurchaseOrdersTable[[#This Row],[Unit Price (₹)]]</f>
        <v>833204</v>
      </c>
      <c r="Q69" s="8">
        <f>PurchaseOrdersTable[[#This Row],[Delivery Date]]-PurchaseOrdersTable[[#This Row],[Order Date]]</f>
        <v>9</v>
      </c>
      <c r="R69" s="8">
        <f>MAX(0, PurchaseOrdersTable[[#This Row],[Delivery Date]]-PurchaseOrdersTable[[#This Row],[Promised Date]])</f>
        <v>4</v>
      </c>
      <c r="S69" s="9">
        <f>PurchaseOrdersTable[[#This Row],[Rejected Qty]]/PurchaseOrdersTable[[#This Row],[Qty Received]]</f>
        <v>2.0706455542021926E-2</v>
      </c>
      <c r="T69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70" spans="1:20">
      <c r="A70" t="s">
        <v>125</v>
      </c>
      <c r="B70" s="2">
        <v>46189</v>
      </c>
      <c r="C70" s="2">
        <v>46195</v>
      </c>
      <c r="D70" s="2">
        <v>46194</v>
      </c>
      <c r="E70" t="s">
        <v>30</v>
      </c>
      <c r="F70" t="s">
        <v>35</v>
      </c>
      <c r="G70" t="s">
        <v>102</v>
      </c>
      <c r="H70" s="3">
        <v>130</v>
      </c>
      <c r="I70" s="3">
        <v>130</v>
      </c>
      <c r="J70" s="3">
        <v>1</v>
      </c>
      <c r="K70" s="4">
        <v>6175.25</v>
      </c>
      <c r="L70" t="s">
        <v>61</v>
      </c>
      <c r="M70" s="6" t="str">
        <f>VLOOKUP(PurchaseOrdersTable[[#This Row],[Supplier Code]],SupplierMasterTable[[Supplier Code]:[Supplier Name]],2,)</f>
        <v>Western MRO Hub</v>
      </c>
      <c r="N70" s="6" t="str">
        <f>VLOOKUP(PurchaseOrdersTable[[#This Row],[Product Code]],ProductMasterTable[[Product Code]:[Product Name]],2,)</f>
        <v>Heavy-Duty Drill Machine</v>
      </c>
      <c r="O70" s="6" t="str">
        <f>VLOOKUP(PurchaseOrdersTable[[#This Row],[Product Code]],ProductMasterTable[[#All],[Product Code]:[Category]],3,)</f>
        <v>Hand Tools</v>
      </c>
      <c r="P70" s="7">
        <f>PurchaseOrdersTable[[#This Row],[Qty Ordered]]*PurchaseOrdersTable[[#This Row],[Unit Price (₹)]]</f>
        <v>802782.5</v>
      </c>
      <c r="Q70" s="8">
        <f>PurchaseOrdersTable[[#This Row],[Delivery Date]]-PurchaseOrdersTable[[#This Row],[Order Date]]</f>
        <v>5</v>
      </c>
      <c r="R70" s="8">
        <f>MAX(0, PurchaseOrdersTable[[#This Row],[Delivery Date]]-PurchaseOrdersTable[[#This Row],[Promised Date]])</f>
        <v>0</v>
      </c>
      <c r="S70" s="9">
        <f>PurchaseOrdersTable[[#This Row],[Rejected Qty]]/PurchaseOrdersTable[[#This Row],[Qty Received]]</f>
        <v>7.6923076923076927E-3</v>
      </c>
      <c r="T70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71" spans="1:20">
      <c r="A71" t="s">
        <v>126</v>
      </c>
      <c r="B71" s="2">
        <v>46133</v>
      </c>
      <c r="C71" s="2">
        <v>46143</v>
      </c>
      <c r="D71" s="2">
        <v>46151</v>
      </c>
      <c r="E71" t="s">
        <v>34</v>
      </c>
      <c r="F71" t="s">
        <v>39</v>
      </c>
      <c r="G71" t="s">
        <v>36</v>
      </c>
      <c r="H71" s="3">
        <v>420</v>
      </c>
      <c r="I71" s="3">
        <v>418</v>
      </c>
      <c r="J71" s="3">
        <v>18</v>
      </c>
      <c r="K71" s="4">
        <v>2167.48</v>
      </c>
      <c r="L71" t="s">
        <v>28</v>
      </c>
      <c r="M71" s="6" t="str">
        <f>VLOOKUP(PurchaseOrdersTable[[#This Row],[Supplier Code]],SupplierMasterTable[[Supplier Code]:[Supplier Name]],2,)</f>
        <v>Bharat Industrial Supplies</v>
      </c>
      <c r="N71" s="6" t="str">
        <f>VLOOKUP(PurchaseOrdersTable[[#This Row],[Product Code]],ProductMasterTable[[Product Code]:[Product Name]],2,)</f>
        <v>Three-Phase Contactor</v>
      </c>
      <c r="O71" s="6" t="str">
        <f>VLOOKUP(PurchaseOrdersTable[[#This Row],[Product Code]],ProductMasterTable[[#All],[Product Code]:[Category]],3,)</f>
        <v>Electricals</v>
      </c>
      <c r="P71" s="7">
        <f>PurchaseOrdersTable[[#This Row],[Qty Ordered]]*PurchaseOrdersTable[[#This Row],[Unit Price (₹)]]</f>
        <v>910341.6</v>
      </c>
      <c r="Q71" s="8">
        <f>PurchaseOrdersTable[[#This Row],[Delivery Date]]-PurchaseOrdersTable[[#This Row],[Order Date]]</f>
        <v>18</v>
      </c>
      <c r="R71" s="8">
        <f>MAX(0, PurchaseOrdersTable[[#This Row],[Delivery Date]]-PurchaseOrdersTable[[#This Row],[Promised Date]])</f>
        <v>8</v>
      </c>
      <c r="S71" s="9">
        <f>PurchaseOrdersTable[[#This Row],[Rejected Qty]]/PurchaseOrdersTable[[#This Row],[Qty Received]]</f>
        <v>4.3062200956937802E-2</v>
      </c>
      <c r="T71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72" spans="1:20">
      <c r="A72" t="s">
        <v>127</v>
      </c>
      <c r="B72" s="2">
        <v>46034</v>
      </c>
      <c r="C72" s="2">
        <v>46043</v>
      </c>
      <c r="D72" s="2">
        <v>46048</v>
      </c>
      <c r="E72" t="s">
        <v>38</v>
      </c>
      <c r="F72" t="s">
        <v>26</v>
      </c>
      <c r="G72" t="s">
        <v>27</v>
      </c>
      <c r="H72" s="3">
        <v>2250</v>
      </c>
      <c r="I72" s="3">
        <v>2224</v>
      </c>
      <c r="J72" s="3">
        <v>81</v>
      </c>
      <c r="K72" s="4">
        <v>508.3</v>
      </c>
      <c r="L72" t="s">
        <v>28</v>
      </c>
      <c r="M72" s="6" t="str">
        <f>VLOOKUP(PurchaseOrdersTable[[#This Row],[Supplier Code]],SupplierMasterTable[[Supplier Code]:[Supplier Name]],2,)</f>
        <v>ProServe MRO Solutions</v>
      </c>
      <c r="N72" s="6" t="str">
        <f>VLOOKUP(PurchaseOrdersTable[[#This Row],[Product Code]],ProductMasterTable[[Product Code]:[Product Name]],2,)</f>
        <v>Reflective Safety Jacket</v>
      </c>
      <c r="O72" s="6" t="str">
        <f>VLOOKUP(PurchaseOrdersTable[[#This Row],[Product Code]],ProductMasterTable[[#All],[Product Code]:[Category]],3,)</f>
        <v>Safety and PPE</v>
      </c>
      <c r="P72" s="7">
        <f>PurchaseOrdersTable[[#This Row],[Qty Ordered]]*PurchaseOrdersTable[[#This Row],[Unit Price (₹)]]</f>
        <v>1143675</v>
      </c>
      <c r="Q72" s="8">
        <f>PurchaseOrdersTable[[#This Row],[Delivery Date]]-PurchaseOrdersTable[[#This Row],[Order Date]]</f>
        <v>14</v>
      </c>
      <c r="R72" s="8">
        <f>MAX(0, PurchaseOrdersTable[[#This Row],[Delivery Date]]-PurchaseOrdersTable[[#This Row],[Promised Date]])</f>
        <v>5</v>
      </c>
      <c r="S72" s="9">
        <f>PurchaseOrdersTable[[#This Row],[Rejected Qty]]/PurchaseOrdersTable[[#This Row],[Qty Received]]</f>
        <v>3.6420863309352521E-2</v>
      </c>
      <c r="T72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73" spans="1:20">
      <c r="A73" t="s">
        <v>128</v>
      </c>
      <c r="B73" s="2">
        <v>46044</v>
      </c>
      <c r="C73" s="2">
        <v>46056</v>
      </c>
      <c r="D73" s="2">
        <v>46063</v>
      </c>
      <c r="E73" t="s">
        <v>25</v>
      </c>
      <c r="F73" t="s">
        <v>45</v>
      </c>
      <c r="G73" t="s">
        <v>64</v>
      </c>
      <c r="H73" s="3">
        <v>360</v>
      </c>
      <c r="I73" s="3">
        <v>352</v>
      </c>
      <c r="J73" s="3">
        <v>33</v>
      </c>
      <c r="K73" s="4">
        <v>1148.96</v>
      </c>
      <c r="L73" t="s">
        <v>28</v>
      </c>
      <c r="M73" s="6" t="str">
        <f>VLOOKUP(PurchaseOrdersTable[[#This Row],[Supplier Code]],SupplierMasterTable[[Supplier Code]:[Supplier Name]],2,)</f>
        <v>Eastern Engineering Traders</v>
      </c>
      <c r="N73" s="6" t="str">
        <f>VLOOKUP(PurchaseOrdersTable[[#This Row],[Product Code]],ProductMasterTable[[Product Code]:[Product Name]],2,)</f>
        <v>Deep-Groove Ball Bearing</v>
      </c>
      <c r="O73" s="6" t="str">
        <f>VLOOKUP(PurchaseOrdersTable[[#This Row],[Product Code]],ProductMasterTable[[#All],[Product Code]:[Category]],3,)</f>
        <v>Bearings and Mechanical</v>
      </c>
      <c r="P73" s="7">
        <f>PurchaseOrdersTable[[#This Row],[Qty Ordered]]*PurchaseOrdersTable[[#This Row],[Unit Price (₹)]]</f>
        <v>413625.60000000003</v>
      </c>
      <c r="Q73" s="8">
        <f>PurchaseOrdersTable[[#This Row],[Delivery Date]]-PurchaseOrdersTable[[#This Row],[Order Date]]</f>
        <v>19</v>
      </c>
      <c r="R73" s="8">
        <f>MAX(0, PurchaseOrdersTable[[#This Row],[Delivery Date]]-PurchaseOrdersTable[[#This Row],[Promised Date]])</f>
        <v>7</v>
      </c>
      <c r="S73" s="9">
        <f>PurchaseOrdersTable[[#This Row],[Rejected Qty]]/PurchaseOrdersTable[[#This Row],[Qty Received]]</f>
        <v>9.375E-2</v>
      </c>
      <c r="T73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74" spans="1:20">
      <c r="A74" t="s">
        <v>129</v>
      </c>
      <c r="B74" s="2">
        <v>46152</v>
      </c>
      <c r="C74" s="2">
        <v>46163</v>
      </c>
      <c r="D74" s="2">
        <v>46171</v>
      </c>
      <c r="E74" t="s">
        <v>30</v>
      </c>
      <c r="F74" t="s">
        <v>54</v>
      </c>
      <c r="G74" t="s">
        <v>32</v>
      </c>
      <c r="H74" s="3">
        <v>210</v>
      </c>
      <c r="I74" s="3">
        <v>204</v>
      </c>
      <c r="J74" s="3">
        <v>11</v>
      </c>
      <c r="K74" s="4">
        <v>1331.21</v>
      </c>
      <c r="L74" t="s">
        <v>61</v>
      </c>
      <c r="M74" s="6" t="str">
        <f>VLOOKUP(PurchaseOrdersTable[[#This Row],[Supplier Code]],SupplierMasterTable[[Supplier Code]:[Supplier Name]],2,)</f>
        <v>Eastline Components</v>
      </c>
      <c r="N74" s="6" t="str">
        <f>VLOOKUP(PurchaseOrdersTable[[#This Row],[Product Code]],ProductMasterTable[[Product Code]:[Product Name]],2,)</f>
        <v>Heavy-Duty Industrial Belt</v>
      </c>
      <c r="O74" s="6" t="str">
        <f>VLOOKUP(PurchaseOrdersTable[[#This Row],[Product Code]],ProductMasterTable[[#All],[Product Code]:[Category]],3,)</f>
        <v>Bearings and Mechanical</v>
      </c>
      <c r="P74" s="7">
        <f>PurchaseOrdersTable[[#This Row],[Qty Ordered]]*PurchaseOrdersTable[[#This Row],[Unit Price (₹)]]</f>
        <v>279554.10000000003</v>
      </c>
      <c r="Q74" s="8">
        <f>PurchaseOrdersTable[[#This Row],[Delivery Date]]-PurchaseOrdersTable[[#This Row],[Order Date]]</f>
        <v>19</v>
      </c>
      <c r="R74" s="8">
        <f>MAX(0, PurchaseOrdersTable[[#This Row],[Delivery Date]]-PurchaseOrdersTable[[#This Row],[Promised Date]])</f>
        <v>8</v>
      </c>
      <c r="S74" s="9">
        <f>PurchaseOrdersTable[[#This Row],[Rejected Qty]]/PurchaseOrdersTable[[#This Row],[Qty Received]]</f>
        <v>5.3921568627450983E-2</v>
      </c>
      <c r="T74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75" spans="1:20">
      <c r="A75" t="s">
        <v>130</v>
      </c>
      <c r="B75" s="2">
        <v>46052</v>
      </c>
      <c r="C75" s="2">
        <v>46061</v>
      </c>
      <c r="D75" s="2">
        <v>46060</v>
      </c>
      <c r="E75" t="s">
        <v>34</v>
      </c>
      <c r="F75" t="s">
        <v>26</v>
      </c>
      <c r="G75" t="s">
        <v>58</v>
      </c>
      <c r="H75" s="3">
        <v>1800</v>
      </c>
      <c r="I75" s="3">
        <v>1781</v>
      </c>
      <c r="J75" s="3">
        <v>103</v>
      </c>
      <c r="K75" s="4">
        <v>312.16000000000003</v>
      </c>
      <c r="L75" t="s">
        <v>28</v>
      </c>
      <c r="M75" s="6" t="str">
        <f>VLOOKUP(PurchaseOrdersTable[[#This Row],[Supplier Code]],SupplierMasterTable[[Supplier Code]:[Supplier Name]],2,)</f>
        <v>ProServe MRO Solutions</v>
      </c>
      <c r="N75" s="6" t="str">
        <f>VLOOKUP(PurchaseOrdersTable[[#This Row],[Product Code]],ProductMasterTable[[Product Code]:[Product Name]],2,)</f>
        <v>Safety Goggles</v>
      </c>
      <c r="O75" s="6" t="str">
        <f>VLOOKUP(PurchaseOrdersTable[[#This Row],[Product Code]],ProductMasterTable[[#All],[Product Code]:[Category]],3,)</f>
        <v>Safety and PPE</v>
      </c>
      <c r="P75" s="7">
        <f>PurchaseOrdersTable[[#This Row],[Qty Ordered]]*PurchaseOrdersTable[[#This Row],[Unit Price (₹)]]</f>
        <v>561888</v>
      </c>
      <c r="Q75" s="8">
        <f>PurchaseOrdersTable[[#This Row],[Delivery Date]]-PurchaseOrdersTable[[#This Row],[Order Date]]</f>
        <v>8</v>
      </c>
      <c r="R75" s="8">
        <f>MAX(0, PurchaseOrdersTable[[#This Row],[Delivery Date]]-PurchaseOrdersTable[[#This Row],[Promised Date]])</f>
        <v>0</v>
      </c>
      <c r="S75" s="9">
        <f>PurchaseOrdersTable[[#This Row],[Rejected Qty]]/PurchaseOrdersTable[[#This Row],[Qty Received]]</f>
        <v>5.7832678270634472E-2</v>
      </c>
      <c r="T75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76" spans="1:20">
      <c r="A76" t="s">
        <v>131</v>
      </c>
      <c r="B76" s="2">
        <v>46110</v>
      </c>
      <c r="C76" s="2">
        <v>46122</v>
      </c>
      <c r="D76" s="2">
        <v>46128</v>
      </c>
      <c r="E76" t="s">
        <v>38</v>
      </c>
      <c r="F76" t="s">
        <v>45</v>
      </c>
      <c r="G76" t="s">
        <v>32</v>
      </c>
      <c r="H76" s="3">
        <v>260</v>
      </c>
      <c r="I76" s="3">
        <v>257</v>
      </c>
      <c r="J76" s="3">
        <v>12</v>
      </c>
      <c r="K76" s="4">
        <v>1357.94</v>
      </c>
      <c r="L76" t="s">
        <v>28</v>
      </c>
      <c r="M76" s="6" t="str">
        <f>VLOOKUP(PurchaseOrdersTable[[#This Row],[Supplier Code]],SupplierMasterTable[[Supplier Code]:[Supplier Name]],2,)</f>
        <v>Eastern Engineering Traders</v>
      </c>
      <c r="N76" s="6" t="str">
        <f>VLOOKUP(PurchaseOrdersTable[[#This Row],[Product Code]],ProductMasterTable[[Product Code]:[Product Name]],2,)</f>
        <v>Heavy-Duty Industrial Belt</v>
      </c>
      <c r="O76" s="6" t="str">
        <f>VLOOKUP(PurchaseOrdersTable[[#This Row],[Product Code]],ProductMasterTable[[#All],[Product Code]:[Category]],3,)</f>
        <v>Bearings and Mechanical</v>
      </c>
      <c r="P76" s="7">
        <f>PurchaseOrdersTable[[#This Row],[Qty Ordered]]*PurchaseOrdersTable[[#This Row],[Unit Price (₹)]]</f>
        <v>353064.4</v>
      </c>
      <c r="Q76" s="8">
        <f>PurchaseOrdersTable[[#This Row],[Delivery Date]]-PurchaseOrdersTable[[#This Row],[Order Date]]</f>
        <v>18</v>
      </c>
      <c r="R76" s="8">
        <f>MAX(0, PurchaseOrdersTable[[#This Row],[Delivery Date]]-PurchaseOrdersTable[[#This Row],[Promised Date]])</f>
        <v>6</v>
      </c>
      <c r="S76" s="9">
        <f>PurchaseOrdersTable[[#This Row],[Rejected Qty]]/PurchaseOrdersTable[[#This Row],[Qty Received]]</f>
        <v>4.6692607003891051E-2</v>
      </c>
      <c r="T76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77" spans="1:20">
      <c r="A77" t="s">
        <v>132</v>
      </c>
      <c r="B77" s="2">
        <v>46051</v>
      </c>
      <c r="C77" s="2">
        <v>46058</v>
      </c>
      <c r="D77" s="2">
        <v>46059</v>
      </c>
      <c r="E77" t="s">
        <v>25</v>
      </c>
      <c r="F77" t="s">
        <v>42</v>
      </c>
      <c r="G77" t="s">
        <v>40</v>
      </c>
      <c r="H77" s="3">
        <v>2250</v>
      </c>
      <c r="I77" s="3">
        <v>2246</v>
      </c>
      <c r="J77" s="3">
        <v>11</v>
      </c>
      <c r="K77" s="4">
        <v>426.24</v>
      </c>
      <c r="L77" t="s">
        <v>28</v>
      </c>
      <c r="M77" s="6" t="str">
        <f>VLOOKUP(PurchaseOrdersTable[[#This Row],[Supplier Code]],SupplierMasterTable[[Supplier Code]:[Supplier Name]],2,)</f>
        <v>SafePro India</v>
      </c>
      <c r="N77" s="6" t="str">
        <f>VLOOKUP(PurchaseOrdersTable[[#This Row],[Product Code]],ProductMasterTable[[Product Code]:[Product Name]],2,)</f>
        <v>Industrial Safety Helmet</v>
      </c>
      <c r="O77" s="6" t="str">
        <f>VLOOKUP(PurchaseOrdersTable[[#This Row],[Product Code]],ProductMasterTable[[#All],[Product Code]:[Category]],3,)</f>
        <v>Safety and PPE</v>
      </c>
      <c r="P77" s="7">
        <f>PurchaseOrdersTable[[#This Row],[Qty Ordered]]*PurchaseOrdersTable[[#This Row],[Unit Price (₹)]]</f>
        <v>959040</v>
      </c>
      <c r="Q77" s="8">
        <f>PurchaseOrdersTable[[#This Row],[Delivery Date]]-PurchaseOrdersTable[[#This Row],[Order Date]]</f>
        <v>8</v>
      </c>
      <c r="R77" s="8">
        <f>MAX(0, PurchaseOrdersTable[[#This Row],[Delivery Date]]-PurchaseOrdersTable[[#This Row],[Promised Date]])</f>
        <v>1</v>
      </c>
      <c r="S77" s="9">
        <f>PurchaseOrdersTable[[#This Row],[Rejected Qty]]/PurchaseOrdersTable[[#This Row],[Qty Received]]</f>
        <v>4.8975957257346393E-3</v>
      </c>
      <c r="T77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78" spans="1:20">
      <c r="A78" t="s">
        <v>133</v>
      </c>
      <c r="B78" s="2">
        <v>46151</v>
      </c>
      <c r="C78" s="2">
        <v>46160</v>
      </c>
      <c r="D78" s="2">
        <v>46162</v>
      </c>
      <c r="E78" t="s">
        <v>30</v>
      </c>
      <c r="F78" t="s">
        <v>26</v>
      </c>
      <c r="G78" t="s">
        <v>108</v>
      </c>
      <c r="H78" s="3">
        <v>180</v>
      </c>
      <c r="I78" s="3">
        <v>179</v>
      </c>
      <c r="J78" s="3">
        <v>8</v>
      </c>
      <c r="K78" s="4">
        <v>1527.62</v>
      </c>
      <c r="L78" t="s">
        <v>28</v>
      </c>
      <c r="M78" s="6" t="str">
        <f>VLOOKUP(PurchaseOrdersTable[[#This Row],[Supplier Code]],SupplierMasterTable[[Supplier Code]:[Supplier Name]],2,)</f>
        <v>ProServe MRO Solutions</v>
      </c>
      <c r="N78" s="6" t="str">
        <f>VLOOKUP(PurchaseOrdersTable[[#This Row],[Product Code]],ProductMasterTable[[Product Code]:[Product Name]],2,)</f>
        <v>Chemical Absorbent Pads - Pack</v>
      </c>
      <c r="O78" s="6" t="str">
        <f>VLOOKUP(PurchaseOrdersTable[[#This Row],[Product Code]],ProductMasterTable[[#All],[Product Code]:[Category]],3,)</f>
        <v>Cleaning and Consumables</v>
      </c>
      <c r="P78" s="7">
        <f>PurchaseOrdersTable[[#This Row],[Qty Ordered]]*PurchaseOrdersTable[[#This Row],[Unit Price (₹)]]</f>
        <v>274971.59999999998</v>
      </c>
      <c r="Q78" s="8">
        <f>PurchaseOrdersTable[[#This Row],[Delivery Date]]-PurchaseOrdersTable[[#This Row],[Order Date]]</f>
        <v>11</v>
      </c>
      <c r="R78" s="8">
        <f>MAX(0, PurchaseOrdersTable[[#This Row],[Delivery Date]]-PurchaseOrdersTable[[#This Row],[Promised Date]])</f>
        <v>2</v>
      </c>
      <c r="S78" s="9">
        <f>PurchaseOrdersTable[[#This Row],[Rejected Qty]]/PurchaseOrdersTable[[#This Row],[Qty Received]]</f>
        <v>4.4692737430167599E-2</v>
      </c>
      <c r="T78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79" spans="1:20">
      <c r="A79" t="s">
        <v>134</v>
      </c>
      <c r="B79" s="2">
        <v>46103</v>
      </c>
      <c r="C79" s="2">
        <v>46114</v>
      </c>
      <c r="D79" s="2">
        <v>46113</v>
      </c>
      <c r="E79" t="s">
        <v>34</v>
      </c>
      <c r="F79" t="s">
        <v>31</v>
      </c>
      <c r="G79" t="s">
        <v>64</v>
      </c>
      <c r="H79" s="3">
        <v>540</v>
      </c>
      <c r="I79" s="3">
        <v>535</v>
      </c>
      <c r="J79" s="3">
        <v>11</v>
      </c>
      <c r="K79" s="4">
        <v>1236.03</v>
      </c>
      <c r="L79" t="s">
        <v>28</v>
      </c>
      <c r="M79" s="6" t="str">
        <f>VLOOKUP(PurchaseOrdersTable[[#This Row],[Supplier Code]],SupplierMasterTable[[Supplier Code]:[Supplier Name]],2,)</f>
        <v>National Bearings Company</v>
      </c>
      <c r="N79" s="6" t="str">
        <f>VLOOKUP(PurchaseOrdersTable[[#This Row],[Product Code]],ProductMasterTable[[Product Code]:[Product Name]],2,)</f>
        <v>Deep-Groove Ball Bearing</v>
      </c>
      <c r="O79" s="6" t="str">
        <f>VLOOKUP(PurchaseOrdersTable[[#This Row],[Product Code]],ProductMasterTable[[#All],[Product Code]:[Category]],3,)</f>
        <v>Bearings and Mechanical</v>
      </c>
      <c r="P79" s="7">
        <f>PurchaseOrdersTable[[#This Row],[Qty Ordered]]*PurchaseOrdersTable[[#This Row],[Unit Price (₹)]]</f>
        <v>667456.19999999995</v>
      </c>
      <c r="Q79" s="8">
        <f>PurchaseOrdersTable[[#This Row],[Delivery Date]]-PurchaseOrdersTable[[#This Row],[Order Date]]</f>
        <v>10</v>
      </c>
      <c r="R79" s="8">
        <f>MAX(0, PurchaseOrdersTable[[#This Row],[Delivery Date]]-PurchaseOrdersTable[[#This Row],[Promised Date]])</f>
        <v>0</v>
      </c>
      <c r="S79" s="9">
        <f>PurchaseOrdersTable[[#This Row],[Rejected Qty]]/PurchaseOrdersTable[[#This Row],[Qty Received]]</f>
        <v>2.0560747663551402E-2</v>
      </c>
      <c r="T79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80" spans="1:20">
      <c r="A80" t="s">
        <v>135</v>
      </c>
      <c r="B80" s="2">
        <v>46037</v>
      </c>
      <c r="C80" s="2">
        <v>46050</v>
      </c>
      <c r="D80" s="2">
        <v>46055</v>
      </c>
      <c r="E80" t="s">
        <v>38</v>
      </c>
      <c r="F80" t="s">
        <v>54</v>
      </c>
      <c r="G80" t="s">
        <v>75</v>
      </c>
      <c r="H80" s="3">
        <v>220</v>
      </c>
      <c r="I80" s="3">
        <v>214</v>
      </c>
      <c r="J80" s="3">
        <v>10</v>
      </c>
      <c r="K80" s="4">
        <v>545.35</v>
      </c>
      <c r="L80" t="s">
        <v>28</v>
      </c>
      <c r="M80" s="6" t="str">
        <f>VLOOKUP(PurchaseOrdersTable[[#This Row],[Supplier Code]],SupplierMasterTable[[Supplier Code]:[Supplier Name]],2,)</f>
        <v>Eastline Components</v>
      </c>
      <c r="N80" s="6" t="str">
        <f>VLOOKUP(PurchaseOrdersTable[[#This Row],[Product Code]],ProductMasterTable[[Product Code]:[Product Name]],2,)</f>
        <v>Miniature Circuit Breaker 32A</v>
      </c>
      <c r="O80" s="6" t="str">
        <f>VLOOKUP(PurchaseOrdersTable[[#This Row],[Product Code]],ProductMasterTable[[#All],[Product Code]:[Category]],3,)</f>
        <v>Electricals</v>
      </c>
      <c r="P80" s="7">
        <f>PurchaseOrdersTable[[#This Row],[Qty Ordered]]*PurchaseOrdersTable[[#This Row],[Unit Price (₹)]]</f>
        <v>119977</v>
      </c>
      <c r="Q80" s="8">
        <f>PurchaseOrdersTable[[#This Row],[Delivery Date]]-PurchaseOrdersTable[[#This Row],[Order Date]]</f>
        <v>18</v>
      </c>
      <c r="R80" s="8">
        <f>MAX(0, PurchaseOrdersTable[[#This Row],[Delivery Date]]-PurchaseOrdersTable[[#This Row],[Promised Date]])</f>
        <v>5</v>
      </c>
      <c r="S80" s="9">
        <f>PurchaseOrdersTable[[#This Row],[Rejected Qty]]/PurchaseOrdersTable[[#This Row],[Qty Received]]</f>
        <v>4.6728971962616821E-2</v>
      </c>
      <c r="T80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81" spans="1:20">
      <c r="A81" t="s">
        <v>136</v>
      </c>
      <c r="B81" s="2">
        <v>46145</v>
      </c>
      <c r="C81" s="2">
        <v>46150</v>
      </c>
      <c r="D81" s="2">
        <v>46158</v>
      </c>
      <c r="E81" t="s">
        <v>25</v>
      </c>
      <c r="F81" t="s">
        <v>57</v>
      </c>
      <c r="G81" t="s">
        <v>108</v>
      </c>
      <c r="H81" s="3">
        <v>150</v>
      </c>
      <c r="I81" s="3">
        <v>148</v>
      </c>
      <c r="J81" s="3">
        <v>3</v>
      </c>
      <c r="K81" s="4">
        <v>1451.08</v>
      </c>
      <c r="L81" t="s">
        <v>28</v>
      </c>
      <c r="M81" s="6" t="str">
        <f>VLOOKUP(PurchaseOrdersTable[[#This Row],[Supplier Code]],SupplierMasterTable[[Supplier Code]:[Supplier Name]],2,)</f>
        <v>Metro Industrial Mart</v>
      </c>
      <c r="N81" s="6" t="str">
        <f>VLOOKUP(PurchaseOrdersTable[[#This Row],[Product Code]],ProductMasterTable[[Product Code]:[Product Name]],2,)</f>
        <v>Chemical Absorbent Pads - Pack</v>
      </c>
      <c r="O81" s="6" t="str">
        <f>VLOOKUP(PurchaseOrdersTable[[#This Row],[Product Code]],ProductMasterTable[[#All],[Product Code]:[Category]],3,)</f>
        <v>Cleaning and Consumables</v>
      </c>
      <c r="P81" s="7">
        <f>PurchaseOrdersTable[[#This Row],[Qty Ordered]]*PurchaseOrdersTable[[#This Row],[Unit Price (₹)]]</f>
        <v>217662</v>
      </c>
      <c r="Q81" s="8">
        <f>PurchaseOrdersTable[[#This Row],[Delivery Date]]-PurchaseOrdersTable[[#This Row],[Order Date]]</f>
        <v>13</v>
      </c>
      <c r="R81" s="8">
        <f>MAX(0, PurchaseOrdersTable[[#This Row],[Delivery Date]]-PurchaseOrdersTable[[#This Row],[Promised Date]])</f>
        <v>8</v>
      </c>
      <c r="S81" s="9">
        <f>PurchaseOrdersTable[[#This Row],[Rejected Qty]]/PurchaseOrdersTable[[#This Row],[Qty Received]]</f>
        <v>2.0270270270270271E-2</v>
      </c>
      <c r="T81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82" spans="1:20">
      <c r="A82" t="s">
        <v>137</v>
      </c>
      <c r="B82" s="2">
        <v>46131</v>
      </c>
      <c r="C82" s="2">
        <v>46143</v>
      </c>
      <c r="D82" s="2">
        <v>46148</v>
      </c>
      <c r="E82" t="s">
        <v>30</v>
      </c>
      <c r="F82" t="s">
        <v>45</v>
      </c>
      <c r="G82" t="s">
        <v>70</v>
      </c>
      <c r="H82" s="3">
        <v>580</v>
      </c>
      <c r="I82" s="3">
        <v>563</v>
      </c>
      <c r="J82" s="3">
        <v>37</v>
      </c>
      <c r="K82" s="4">
        <v>3893.76</v>
      </c>
      <c r="L82" t="s">
        <v>28</v>
      </c>
      <c r="M82" s="6" t="str">
        <f>VLOOKUP(PurchaseOrdersTable[[#This Row],[Supplier Code]],SupplierMasterTable[[Supplier Code]:[Supplier Name]],2,)</f>
        <v>Eastern Engineering Traders</v>
      </c>
      <c r="N82" s="6" t="str">
        <f>VLOOKUP(PurchaseOrdersTable[[#This Row],[Product Code]],ProductMasterTable[[Product Code]:[Product Name]],2,)</f>
        <v>Copper Cable Roll - 100 m</v>
      </c>
      <c r="O82" s="6" t="str">
        <f>VLOOKUP(PurchaseOrdersTable[[#This Row],[Product Code]],ProductMasterTable[[#All],[Product Code]:[Category]],3,)</f>
        <v>Electricals</v>
      </c>
      <c r="P82" s="7">
        <f>PurchaseOrdersTable[[#This Row],[Qty Ordered]]*PurchaseOrdersTable[[#This Row],[Unit Price (₹)]]</f>
        <v>2258380.8000000003</v>
      </c>
      <c r="Q82" s="8">
        <f>PurchaseOrdersTable[[#This Row],[Delivery Date]]-PurchaseOrdersTable[[#This Row],[Order Date]]</f>
        <v>17</v>
      </c>
      <c r="R82" s="8">
        <f>MAX(0, PurchaseOrdersTable[[#This Row],[Delivery Date]]-PurchaseOrdersTable[[#This Row],[Promised Date]])</f>
        <v>5</v>
      </c>
      <c r="S82" s="9">
        <f>PurchaseOrdersTable[[#This Row],[Rejected Qty]]/PurchaseOrdersTable[[#This Row],[Qty Received]]</f>
        <v>6.5719360568383664E-2</v>
      </c>
      <c r="T82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83" spans="1:20">
      <c r="A83" t="s">
        <v>138</v>
      </c>
      <c r="B83" s="2">
        <v>46060</v>
      </c>
      <c r="C83" s="2">
        <v>46065</v>
      </c>
      <c r="D83" s="2">
        <v>46065</v>
      </c>
      <c r="E83" t="s">
        <v>34</v>
      </c>
      <c r="F83" t="s">
        <v>42</v>
      </c>
      <c r="G83" t="s">
        <v>43</v>
      </c>
      <c r="H83" s="3">
        <v>2500</v>
      </c>
      <c r="I83" s="3">
        <v>2460</v>
      </c>
      <c r="J83" s="3">
        <v>30</v>
      </c>
      <c r="K83" s="4">
        <v>787.75</v>
      </c>
      <c r="L83" t="s">
        <v>61</v>
      </c>
      <c r="M83" s="6" t="str">
        <f>VLOOKUP(PurchaseOrdersTable[[#This Row],[Supplier Code]],SupplierMasterTable[[Supplier Code]:[Supplier Name]],2,)</f>
        <v>SafePro India</v>
      </c>
      <c r="N83" s="6" t="str">
        <f>VLOOKUP(PurchaseOrdersTable[[#This Row],[Product Code]],ProductMasterTable[[Product Code]:[Product Name]],2,)</f>
        <v>Nitrile Gloves - Box of 100</v>
      </c>
      <c r="O83" s="6" t="str">
        <f>VLOOKUP(PurchaseOrdersTable[[#This Row],[Product Code]],ProductMasterTable[[#All],[Product Code]:[Category]],3,)</f>
        <v>Safety and PPE</v>
      </c>
      <c r="P83" s="7">
        <f>PurchaseOrdersTable[[#This Row],[Qty Ordered]]*PurchaseOrdersTable[[#This Row],[Unit Price (₹)]]</f>
        <v>1969375</v>
      </c>
      <c r="Q83" s="8">
        <f>PurchaseOrdersTable[[#This Row],[Delivery Date]]-PurchaseOrdersTable[[#This Row],[Order Date]]</f>
        <v>5</v>
      </c>
      <c r="R83" s="8">
        <f>MAX(0, PurchaseOrdersTable[[#This Row],[Delivery Date]]-PurchaseOrdersTable[[#This Row],[Promised Date]])</f>
        <v>0</v>
      </c>
      <c r="S83" s="9">
        <f>PurchaseOrdersTable[[#This Row],[Rejected Qty]]/PurchaseOrdersTable[[#This Row],[Qty Received]]</f>
        <v>1.2195121951219513E-2</v>
      </c>
      <c r="T83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84" spans="1:20">
      <c r="A84" t="s">
        <v>139</v>
      </c>
      <c r="B84" s="2">
        <v>46161</v>
      </c>
      <c r="C84" s="2">
        <v>46170</v>
      </c>
      <c r="D84" s="2">
        <v>46174</v>
      </c>
      <c r="E84" t="s">
        <v>38</v>
      </c>
      <c r="F84" t="s">
        <v>26</v>
      </c>
      <c r="G84" t="s">
        <v>36</v>
      </c>
      <c r="H84" s="3">
        <v>140</v>
      </c>
      <c r="I84" s="3">
        <v>139</v>
      </c>
      <c r="J84" s="3">
        <v>1</v>
      </c>
      <c r="K84" s="4">
        <v>2151.4</v>
      </c>
      <c r="L84" t="s">
        <v>28</v>
      </c>
      <c r="M84" s="6" t="str">
        <f>VLOOKUP(PurchaseOrdersTable[[#This Row],[Supplier Code]],SupplierMasterTable[[Supplier Code]:[Supplier Name]],2,)</f>
        <v>ProServe MRO Solutions</v>
      </c>
      <c r="N84" s="6" t="str">
        <f>VLOOKUP(PurchaseOrdersTable[[#This Row],[Product Code]],ProductMasterTable[[Product Code]:[Product Name]],2,)</f>
        <v>Three-Phase Contactor</v>
      </c>
      <c r="O84" s="6" t="str">
        <f>VLOOKUP(PurchaseOrdersTable[[#This Row],[Product Code]],ProductMasterTable[[#All],[Product Code]:[Category]],3,)</f>
        <v>Electricals</v>
      </c>
      <c r="P84" s="7">
        <f>PurchaseOrdersTable[[#This Row],[Qty Ordered]]*PurchaseOrdersTable[[#This Row],[Unit Price (₹)]]</f>
        <v>301196</v>
      </c>
      <c r="Q84" s="8">
        <f>PurchaseOrdersTable[[#This Row],[Delivery Date]]-PurchaseOrdersTable[[#This Row],[Order Date]]</f>
        <v>13</v>
      </c>
      <c r="R84" s="8">
        <f>MAX(0, PurchaseOrdersTable[[#This Row],[Delivery Date]]-PurchaseOrdersTable[[#This Row],[Promised Date]])</f>
        <v>4</v>
      </c>
      <c r="S84" s="9">
        <f>PurchaseOrdersTable[[#This Row],[Rejected Qty]]/PurchaseOrdersTable[[#This Row],[Qty Received]]</f>
        <v>7.1942446043165471E-3</v>
      </c>
      <c r="T84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85" spans="1:20">
      <c r="A85" t="s">
        <v>140</v>
      </c>
      <c r="B85" s="2">
        <v>46177</v>
      </c>
      <c r="C85" s="2">
        <v>46185</v>
      </c>
      <c r="D85" s="2">
        <v>46188</v>
      </c>
      <c r="E85" t="s">
        <v>25</v>
      </c>
      <c r="F85" t="s">
        <v>35</v>
      </c>
      <c r="G85" t="s">
        <v>48</v>
      </c>
      <c r="H85" s="3">
        <v>140</v>
      </c>
      <c r="I85" s="3">
        <v>140</v>
      </c>
      <c r="J85" s="3">
        <v>2</v>
      </c>
      <c r="K85" s="4">
        <v>4792.22</v>
      </c>
      <c r="L85" t="s">
        <v>28</v>
      </c>
      <c r="M85" s="6" t="str">
        <f>VLOOKUP(PurchaseOrdersTable[[#This Row],[Supplier Code]],SupplierMasterTable[[Supplier Code]:[Supplier Name]],2,)</f>
        <v>Western MRO Hub</v>
      </c>
      <c r="N85" s="6" t="str">
        <f>VLOOKUP(PurchaseOrdersTable[[#This Row],[Product Code]],ProductMasterTable[[Product Code]:[Product Name]],2,)</f>
        <v>Industrial Torque Wrench</v>
      </c>
      <c r="O85" s="6" t="str">
        <f>VLOOKUP(PurchaseOrdersTable[[#This Row],[Product Code]],ProductMasterTable[[#All],[Product Code]:[Category]],3,)</f>
        <v>Hand Tools</v>
      </c>
      <c r="P85" s="7">
        <f>PurchaseOrdersTable[[#This Row],[Qty Ordered]]*PurchaseOrdersTable[[#This Row],[Unit Price (₹)]]</f>
        <v>670910.80000000005</v>
      </c>
      <c r="Q85" s="8">
        <f>PurchaseOrdersTable[[#This Row],[Delivery Date]]-PurchaseOrdersTable[[#This Row],[Order Date]]</f>
        <v>11</v>
      </c>
      <c r="R85" s="8">
        <f>MAX(0, PurchaseOrdersTable[[#This Row],[Delivery Date]]-PurchaseOrdersTable[[#This Row],[Promised Date]])</f>
        <v>3</v>
      </c>
      <c r="S85" s="9">
        <f>PurchaseOrdersTable[[#This Row],[Rejected Qty]]/PurchaseOrdersTable[[#This Row],[Qty Received]]</f>
        <v>1.4285714285714285E-2</v>
      </c>
      <c r="T85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86" spans="1:20">
      <c r="A86" t="s">
        <v>141</v>
      </c>
      <c r="B86" s="2">
        <v>46076</v>
      </c>
      <c r="C86" s="2">
        <v>46086</v>
      </c>
      <c r="D86" s="2">
        <v>46089</v>
      </c>
      <c r="E86" t="s">
        <v>30</v>
      </c>
      <c r="F86" t="s">
        <v>39</v>
      </c>
      <c r="G86" t="s">
        <v>27</v>
      </c>
      <c r="H86" s="3">
        <v>2500</v>
      </c>
      <c r="I86" s="3">
        <v>2491</v>
      </c>
      <c r="J86" s="3">
        <v>59</v>
      </c>
      <c r="K86" s="4">
        <v>522.05999999999995</v>
      </c>
      <c r="L86" t="s">
        <v>28</v>
      </c>
      <c r="M86" s="6" t="str">
        <f>VLOOKUP(PurchaseOrdersTable[[#This Row],[Supplier Code]],SupplierMasterTable[[Supplier Code]:[Supplier Name]],2,)</f>
        <v>Bharat Industrial Supplies</v>
      </c>
      <c r="N86" s="6" t="str">
        <f>VLOOKUP(PurchaseOrdersTable[[#This Row],[Product Code]],ProductMasterTable[[Product Code]:[Product Name]],2,)</f>
        <v>Reflective Safety Jacket</v>
      </c>
      <c r="O86" s="6" t="str">
        <f>VLOOKUP(PurchaseOrdersTable[[#This Row],[Product Code]],ProductMasterTable[[#All],[Product Code]:[Category]],3,)</f>
        <v>Safety and PPE</v>
      </c>
      <c r="P86" s="7">
        <f>PurchaseOrdersTable[[#This Row],[Qty Ordered]]*PurchaseOrdersTable[[#This Row],[Unit Price (₹)]]</f>
        <v>1305149.9999999998</v>
      </c>
      <c r="Q86" s="8">
        <f>PurchaseOrdersTable[[#This Row],[Delivery Date]]-PurchaseOrdersTable[[#This Row],[Order Date]]</f>
        <v>13</v>
      </c>
      <c r="R86" s="8">
        <f>MAX(0, PurchaseOrdersTable[[#This Row],[Delivery Date]]-PurchaseOrdersTable[[#This Row],[Promised Date]])</f>
        <v>3</v>
      </c>
      <c r="S86" s="9">
        <f>PurchaseOrdersTable[[#This Row],[Rejected Qty]]/PurchaseOrdersTable[[#This Row],[Qty Received]]</f>
        <v>2.3685266961059815E-2</v>
      </c>
      <c r="T86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87" spans="1:20">
      <c r="A87" t="s">
        <v>142</v>
      </c>
      <c r="B87" s="2">
        <v>46131</v>
      </c>
      <c r="C87" s="2">
        <v>46141</v>
      </c>
      <c r="D87" s="2">
        <v>46143</v>
      </c>
      <c r="E87" t="s">
        <v>34</v>
      </c>
      <c r="F87" t="s">
        <v>39</v>
      </c>
      <c r="G87" t="s">
        <v>40</v>
      </c>
      <c r="H87" s="3">
        <v>2350</v>
      </c>
      <c r="I87" s="3">
        <v>2347</v>
      </c>
      <c r="J87" s="3">
        <v>72</v>
      </c>
      <c r="K87" s="4">
        <v>432.12</v>
      </c>
      <c r="L87" t="s">
        <v>28</v>
      </c>
      <c r="M87" s="6" t="str">
        <f>VLOOKUP(PurchaseOrdersTable[[#This Row],[Supplier Code]],SupplierMasterTable[[Supplier Code]:[Supplier Name]],2,)</f>
        <v>Bharat Industrial Supplies</v>
      </c>
      <c r="N87" s="6" t="str">
        <f>VLOOKUP(PurchaseOrdersTable[[#This Row],[Product Code]],ProductMasterTable[[Product Code]:[Product Name]],2,)</f>
        <v>Industrial Safety Helmet</v>
      </c>
      <c r="O87" s="6" t="str">
        <f>VLOOKUP(PurchaseOrdersTable[[#This Row],[Product Code]],ProductMasterTable[[#All],[Product Code]:[Category]],3,)</f>
        <v>Safety and PPE</v>
      </c>
      <c r="P87" s="7">
        <f>PurchaseOrdersTable[[#This Row],[Qty Ordered]]*PurchaseOrdersTable[[#This Row],[Unit Price (₹)]]</f>
        <v>1015482</v>
      </c>
      <c r="Q87" s="8">
        <f>PurchaseOrdersTable[[#This Row],[Delivery Date]]-PurchaseOrdersTable[[#This Row],[Order Date]]</f>
        <v>12</v>
      </c>
      <c r="R87" s="8">
        <f>MAX(0, PurchaseOrdersTable[[#This Row],[Delivery Date]]-PurchaseOrdersTable[[#This Row],[Promised Date]])</f>
        <v>2</v>
      </c>
      <c r="S87" s="9">
        <f>PurchaseOrdersTable[[#This Row],[Rejected Qty]]/PurchaseOrdersTable[[#This Row],[Qty Received]]</f>
        <v>3.0677460587984661E-2</v>
      </c>
      <c r="T87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88" spans="1:20">
      <c r="A88" t="s">
        <v>143</v>
      </c>
      <c r="B88" s="2">
        <v>46067</v>
      </c>
      <c r="C88" s="2">
        <v>46072</v>
      </c>
      <c r="D88" s="2">
        <v>46080</v>
      </c>
      <c r="E88" t="s">
        <v>38</v>
      </c>
      <c r="F88" t="s">
        <v>57</v>
      </c>
      <c r="G88" t="s">
        <v>58</v>
      </c>
      <c r="H88" s="3">
        <v>2250</v>
      </c>
      <c r="I88" s="3">
        <v>2178</v>
      </c>
      <c r="J88" s="3">
        <v>67</v>
      </c>
      <c r="K88" s="4">
        <v>272.25</v>
      </c>
      <c r="L88" t="s">
        <v>28</v>
      </c>
      <c r="M88" s="6" t="str">
        <f>VLOOKUP(PurchaseOrdersTable[[#This Row],[Supplier Code]],SupplierMasterTable[[Supplier Code]:[Supplier Name]],2,)</f>
        <v>Metro Industrial Mart</v>
      </c>
      <c r="N88" s="6" t="str">
        <f>VLOOKUP(PurchaseOrdersTable[[#This Row],[Product Code]],ProductMasterTable[[Product Code]:[Product Name]],2,)</f>
        <v>Safety Goggles</v>
      </c>
      <c r="O88" s="6" t="str">
        <f>VLOOKUP(PurchaseOrdersTable[[#This Row],[Product Code]],ProductMasterTable[[#All],[Product Code]:[Category]],3,)</f>
        <v>Safety and PPE</v>
      </c>
      <c r="P88" s="7">
        <f>PurchaseOrdersTable[[#This Row],[Qty Ordered]]*PurchaseOrdersTable[[#This Row],[Unit Price (₹)]]</f>
        <v>612562.5</v>
      </c>
      <c r="Q88" s="8">
        <f>PurchaseOrdersTable[[#This Row],[Delivery Date]]-PurchaseOrdersTable[[#This Row],[Order Date]]</f>
        <v>13</v>
      </c>
      <c r="R88" s="8">
        <f>MAX(0, PurchaseOrdersTable[[#This Row],[Delivery Date]]-PurchaseOrdersTable[[#This Row],[Promised Date]])</f>
        <v>8</v>
      </c>
      <c r="S88" s="9">
        <f>PurchaseOrdersTable[[#This Row],[Rejected Qty]]/PurchaseOrdersTable[[#This Row],[Qty Received]]</f>
        <v>3.0762167125803489E-2</v>
      </c>
      <c r="T88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89" spans="1:20">
      <c r="A89" t="s">
        <v>144</v>
      </c>
      <c r="B89" s="2">
        <v>46033</v>
      </c>
      <c r="C89" s="2">
        <v>46042</v>
      </c>
      <c r="D89" s="2">
        <v>46048</v>
      </c>
      <c r="E89" t="s">
        <v>25</v>
      </c>
      <c r="F89" t="s">
        <v>26</v>
      </c>
      <c r="G89" t="s">
        <v>108</v>
      </c>
      <c r="H89" s="3">
        <v>280</v>
      </c>
      <c r="I89" s="3">
        <v>277</v>
      </c>
      <c r="J89" s="3">
        <v>0</v>
      </c>
      <c r="K89" s="4">
        <v>1583.44</v>
      </c>
      <c r="L89" t="s">
        <v>28</v>
      </c>
      <c r="M89" s="6" t="str">
        <f>VLOOKUP(PurchaseOrdersTable[[#This Row],[Supplier Code]],SupplierMasterTable[[Supplier Code]:[Supplier Name]],2,)</f>
        <v>ProServe MRO Solutions</v>
      </c>
      <c r="N89" s="6" t="str">
        <f>VLOOKUP(PurchaseOrdersTable[[#This Row],[Product Code]],ProductMasterTable[[Product Code]:[Product Name]],2,)</f>
        <v>Chemical Absorbent Pads - Pack</v>
      </c>
      <c r="O89" s="6" t="str">
        <f>VLOOKUP(PurchaseOrdersTable[[#This Row],[Product Code]],ProductMasterTable[[#All],[Product Code]:[Category]],3,)</f>
        <v>Cleaning and Consumables</v>
      </c>
      <c r="P89" s="7">
        <f>PurchaseOrdersTable[[#This Row],[Qty Ordered]]*PurchaseOrdersTable[[#This Row],[Unit Price (₹)]]</f>
        <v>443363.2</v>
      </c>
      <c r="Q89" s="8">
        <f>PurchaseOrdersTable[[#This Row],[Delivery Date]]-PurchaseOrdersTable[[#This Row],[Order Date]]</f>
        <v>15</v>
      </c>
      <c r="R89" s="8">
        <f>MAX(0, PurchaseOrdersTable[[#This Row],[Delivery Date]]-PurchaseOrdersTable[[#This Row],[Promised Date]])</f>
        <v>6</v>
      </c>
      <c r="S89" s="9">
        <f>PurchaseOrdersTable[[#This Row],[Rejected Qty]]/PurchaseOrdersTable[[#This Row],[Qty Received]]</f>
        <v>0</v>
      </c>
      <c r="T89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90" spans="1:20">
      <c r="A90" t="s">
        <v>145</v>
      </c>
      <c r="B90" s="2">
        <v>46199</v>
      </c>
      <c r="C90" s="2">
        <v>46208</v>
      </c>
      <c r="D90" s="2">
        <v>46211</v>
      </c>
      <c r="E90" t="s">
        <v>30</v>
      </c>
      <c r="F90" t="s">
        <v>26</v>
      </c>
      <c r="G90" t="s">
        <v>48</v>
      </c>
      <c r="H90" s="3">
        <v>120</v>
      </c>
      <c r="I90" s="3">
        <v>119</v>
      </c>
      <c r="J90" s="3">
        <v>3</v>
      </c>
      <c r="K90" s="4">
        <v>4705.3900000000003</v>
      </c>
      <c r="L90" t="s">
        <v>28</v>
      </c>
      <c r="M90" s="6" t="str">
        <f>VLOOKUP(PurchaseOrdersTable[[#This Row],[Supplier Code]],SupplierMasterTable[[Supplier Code]:[Supplier Name]],2,)</f>
        <v>ProServe MRO Solutions</v>
      </c>
      <c r="N90" s="6" t="str">
        <f>VLOOKUP(PurchaseOrdersTable[[#This Row],[Product Code]],ProductMasterTable[[Product Code]:[Product Name]],2,)</f>
        <v>Industrial Torque Wrench</v>
      </c>
      <c r="O90" s="6" t="str">
        <f>VLOOKUP(PurchaseOrdersTable[[#This Row],[Product Code]],ProductMasterTable[[#All],[Product Code]:[Category]],3,)</f>
        <v>Hand Tools</v>
      </c>
      <c r="P90" s="7">
        <f>PurchaseOrdersTable[[#This Row],[Qty Ordered]]*PurchaseOrdersTable[[#This Row],[Unit Price (₹)]]</f>
        <v>564646.80000000005</v>
      </c>
      <c r="Q90" s="8">
        <f>PurchaseOrdersTable[[#This Row],[Delivery Date]]-PurchaseOrdersTable[[#This Row],[Order Date]]</f>
        <v>12</v>
      </c>
      <c r="R90" s="8">
        <f>MAX(0, PurchaseOrdersTable[[#This Row],[Delivery Date]]-PurchaseOrdersTable[[#This Row],[Promised Date]])</f>
        <v>3</v>
      </c>
      <c r="S90" s="9">
        <f>PurchaseOrdersTable[[#This Row],[Rejected Qty]]/PurchaseOrdersTable[[#This Row],[Qty Received]]</f>
        <v>2.5210084033613446E-2</v>
      </c>
      <c r="T90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91" spans="1:20">
      <c r="A91" t="s">
        <v>146</v>
      </c>
      <c r="B91" s="2">
        <v>46156</v>
      </c>
      <c r="C91" s="2">
        <v>46167</v>
      </c>
      <c r="D91" s="2">
        <v>46170</v>
      </c>
      <c r="E91" t="s">
        <v>34</v>
      </c>
      <c r="F91" t="s">
        <v>31</v>
      </c>
      <c r="G91" t="s">
        <v>32</v>
      </c>
      <c r="H91" s="3">
        <v>540</v>
      </c>
      <c r="I91" s="3">
        <v>540</v>
      </c>
      <c r="J91" s="3">
        <v>2</v>
      </c>
      <c r="K91" s="4">
        <v>1422.03</v>
      </c>
      <c r="L91" t="s">
        <v>28</v>
      </c>
      <c r="M91" s="6" t="str">
        <f>VLOOKUP(PurchaseOrdersTable[[#This Row],[Supplier Code]],SupplierMasterTable[[Supplier Code]:[Supplier Name]],2,)</f>
        <v>National Bearings Company</v>
      </c>
      <c r="N91" s="6" t="str">
        <f>VLOOKUP(PurchaseOrdersTable[[#This Row],[Product Code]],ProductMasterTable[[Product Code]:[Product Name]],2,)</f>
        <v>Heavy-Duty Industrial Belt</v>
      </c>
      <c r="O91" s="6" t="str">
        <f>VLOOKUP(PurchaseOrdersTable[[#This Row],[Product Code]],ProductMasterTable[[#All],[Product Code]:[Category]],3,)</f>
        <v>Bearings and Mechanical</v>
      </c>
      <c r="P91" s="7">
        <f>PurchaseOrdersTable[[#This Row],[Qty Ordered]]*PurchaseOrdersTable[[#This Row],[Unit Price (₹)]]</f>
        <v>767896.2</v>
      </c>
      <c r="Q91" s="8">
        <f>PurchaseOrdersTable[[#This Row],[Delivery Date]]-PurchaseOrdersTable[[#This Row],[Order Date]]</f>
        <v>14</v>
      </c>
      <c r="R91" s="8">
        <f>MAX(0, PurchaseOrdersTable[[#This Row],[Delivery Date]]-PurchaseOrdersTable[[#This Row],[Promised Date]])</f>
        <v>3</v>
      </c>
      <c r="S91" s="9">
        <f>PurchaseOrdersTable[[#This Row],[Rejected Qty]]/PurchaseOrdersTable[[#This Row],[Qty Received]]</f>
        <v>3.7037037037037038E-3</v>
      </c>
      <c r="T91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92" spans="1:20">
      <c r="A92" t="s">
        <v>147</v>
      </c>
      <c r="B92" s="2">
        <v>46070</v>
      </c>
      <c r="C92" s="2">
        <v>46079</v>
      </c>
      <c r="D92" s="2">
        <v>46085</v>
      </c>
      <c r="E92" t="s">
        <v>38</v>
      </c>
      <c r="F92" t="s">
        <v>26</v>
      </c>
      <c r="G92" t="s">
        <v>27</v>
      </c>
      <c r="H92" s="3">
        <v>950</v>
      </c>
      <c r="I92" s="3">
        <v>942</v>
      </c>
      <c r="J92" s="3">
        <v>24</v>
      </c>
      <c r="K92" s="4">
        <v>531.41</v>
      </c>
      <c r="L92" t="s">
        <v>28</v>
      </c>
      <c r="M92" s="6" t="str">
        <f>VLOOKUP(PurchaseOrdersTable[[#This Row],[Supplier Code]],SupplierMasterTable[[Supplier Code]:[Supplier Name]],2,)</f>
        <v>ProServe MRO Solutions</v>
      </c>
      <c r="N92" s="6" t="str">
        <f>VLOOKUP(PurchaseOrdersTable[[#This Row],[Product Code]],ProductMasterTable[[Product Code]:[Product Name]],2,)</f>
        <v>Reflective Safety Jacket</v>
      </c>
      <c r="O92" s="6" t="str">
        <f>VLOOKUP(PurchaseOrdersTable[[#This Row],[Product Code]],ProductMasterTable[[#All],[Product Code]:[Category]],3,)</f>
        <v>Safety and PPE</v>
      </c>
      <c r="P92" s="7">
        <f>PurchaseOrdersTable[[#This Row],[Qty Ordered]]*PurchaseOrdersTable[[#This Row],[Unit Price (₹)]]</f>
        <v>504839.49999999994</v>
      </c>
      <c r="Q92" s="8">
        <f>PurchaseOrdersTable[[#This Row],[Delivery Date]]-PurchaseOrdersTable[[#This Row],[Order Date]]</f>
        <v>15</v>
      </c>
      <c r="R92" s="8">
        <f>MAX(0, PurchaseOrdersTable[[#This Row],[Delivery Date]]-PurchaseOrdersTable[[#This Row],[Promised Date]])</f>
        <v>6</v>
      </c>
      <c r="S92" s="9">
        <f>PurchaseOrdersTable[[#This Row],[Rejected Qty]]/PurchaseOrdersTable[[#This Row],[Qty Received]]</f>
        <v>2.5477707006369428E-2</v>
      </c>
      <c r="T92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93" spans="1:20">
      <c r="A93" t="s">
        <v>148</v>
      </c>
      <c r="B93" s="2">
        <v>46081</v>
      </c>
      <c r="C93" s="2">
        <v>46089</v>
      </c>
      <c r="D93" s="2">
        <v>46089</v>
      </c>
      <c r="E93" t="s">
        <v>25</v>
      </c>
      <c r="F93" t="s">
        <v>87</v>
      </c>
      <c r="G93" t="s">
        <v>108</v>
      </c>
      <c r="H93" s="3">
        <v>100</v>
      </c>
      <c r="I93" s="3">
        <v>100</v>
      </c>
      <c r="J93" s="3">
        <v>0</v>
      </c>
      <c r="K93" s="4">
        <v>1641.93</v>
      </c>
      <c r="L93" t="s">
        <v>28</v>
      </c>
      <c r="M93" s="6" t="str">
        <f>VLOOKUP(PurchaseOrdersTable[[#This Row],[Supplier Code]],SupplierMasterTable[[Supplier Code]:[Supplier Name]],2,)</f>
        <v>CleanWorks Industrial</v>
      </c>
      <c r="N93" s="6" t="str">
        <f>VLOOKUP(PurchaseOrdersTable[[#This Row],[Product Code]],ProductMasterTable[[Product Code]:[Product Name]],2,)</f>
        <v>Chemical Absorbent Pads - Pack</v>
      </c>
      <c r="O93" s="6" t="str">
        <f>VLOOKUP(PurchaseOrdersTable[[#This Row],[Product Code]],ProductMasterTable[[#All],[Product Code]:[Category]],3,)</f>
        <v>Cleaning and Consumables</v>
      </c>
      <c r="P93" s="7">
        <f>PurchaseOrdersTable[[#This Row],[Qty Ordered]]*PurchaseOrdersTable[[#This Row],[Unit Price (₹)]]</f>
        <v>164193</v>
      </c>
      <c r="Q93" s="8">
        <f>PurchaseOrdersTable[[#This Row],[Delivery Date]]-PurchaseOrdersTable[[#This Row],[Order Date]]</f>
        <v>8</v>
      </c>
      <c r="R93" s="8">
        <f>MAX(0, PurchaseOrdersTable[[#This Row],[Delivery Date]]-PurchaseOrdersTable[[#This Row],[Promised Date]])</f>
        <v>0</v>
      </c>
      <c r="S93" s="9">
        <f>PurchaseOrdersTable[[#This Row],[Rejected Qty]]/PurchaseOrdersTable[[#This Row],[Qty Received]]</f>
        <v>0</v>
      </c>
      <c r="T93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94" spans="1:20">
      <c r="A94" t="s">
        <v>149</v>
      </c>
      <c r="B94" s="2">
        <v>46197</v>
      </c>
      <c r="C94" s="2">
        <v>46200</v>
      </c>
      <c r="D94" s="2">
        <v>46203</v>
      </c>
      <c r="E94" t="s">
        <v>30</v>
      </c>
      <c r="F94" t="s">
        <v>57</v>
      </c>
      <c r="G94" t="s">
        <v>58</v>
      </c>
      <c r="H94" s="3">
        <v>1650</v>
      </c>
      <c r="I94" s="3">
        <v>1608</v>
      </c>
      <c r="J94" s="3">
        <v>158</v>
      </c>
      <c r="K94" s="4">
        <v>304.52999999999997</v>
      </c>
      <c r="L94" t="s">
        <v>61</v>
      </c>
      <c r="M94" s="6" t="str">
        <f>VLOOKUP(PurchaseOrdersTable[[#This Row],[Supplier Code]],SupplierMasterTable[[Supplier Code]:[Supplier Name]],2,)</f>
        <v>Metro Industrial Mart</v>
      </c>
      <c r="N94" s="6" t="str">
        <f>VLOOKUP(PurchaseOrdersTable[[#This Row],[Product Code]],ProductMasterTable[[Product Code]:[Product Name]],2,)</f>
        <v>Safety Goggles</v>
      </c>
      <c r="O94" s="6" t="str">
        <f>VLOOKUP(PurchaseOrdersTable[[#This Row],[Product Code]],ProductMasterTable[[#All],[Product Code]:[Category]],3,)</f>
        <v>Safety and PPE</v>
      </c>
      <c r="P94" s="7">
        <f>PurchaseOrdersTable[[#This Row],[Qty Ordered]]*PurchaseOrdersTable[[#This Row],[Unit Price (₹)]]</f>
        <v>502474.49999999994</v>
      </c>
      <c r="Q94" s="8">
        <f>PurchaseOrdersTable[[#This Row],[Delivery Date]]-PurchaseOrdersTable[[#This Row],[Order Date]]</f>
        <v>6</v>
      </c>
      <c r="R94" s="8">
        <f>MAX(0, PurchaseOrdersTable[[#This Row],[Delivery Date]]-PurchaseOrdersTable[[#This Row],[Promised Date]])</f>
        <v>3</v>
      </c>
      <c r="S94" s="9">
        <f>PurchaseOrdersTable[[#This Row],[Rejected Qty]]/PurchaseOrdersTable[[#This Row],[Qty Received]]</f>
        <v>9.8258706467661688E-2</v>
      </c>
      <c r="T94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95" spans="1:20">
      <c r="A95" t="s">
        <v>150</v>
      </c>
      <c r="B95" s="2">
        <v>46046</v>
      </c>
      <c r="C95" s="2">
        <v>46057</v>
      </c>
      <c r="D95" s="2">
        <v>46062</v>
      </c>
      <c r="E95" t="s">
        <v>34</v>
      </c>
      <c r="F95" t="s">
        <v>54</v>
      </c>
      <c r="G95" t="s">
        <v>55</v>
      </c>
      <c r="H95" s="3">
        <v>320</v>
      </c>
      <c r="I95" s="3">
        <v>310</v>
      </c>
      <c r="J95" s="3">
        <v>13</v>
      </c>
      <c r="K95" s="4">
        <v>2739.42</v>
      </c>
      <c r="L95" t="s">
        <v>61</v>
      </c>
      <c r="M95" s="6" t="str">
        <f>VLOOKUP(PurchaseOrdersTable[[#This Row],[Supplier Code]],SupplierMasterTable[[Supplier Code]:[Supplier Name]],2,)</f>
        <v>Eastline Components</v>
      </c>
      <c r="N95" s="6" t="str">
        <f>VLOOKUP(PurchaseOrdersTable[[#This Row],[Product Code]],ProductMasterTable[[Product Code]:[Product Name]],2,)</f>
        <v>Industrial Roller Bearing</v>
      </c>
      <c r="O95" s="6" t="str">
        <f>VLOOKUP(PurchaseOrdersTable[[#This Row],[Product Code]],ProductMasterTable[[#All],[Product Code]:[Category]],3,)</f>
        <v>Bearings and Mechanical</v>
      </c>
      <c r="P95" s="7">
        <f>PurchaseOrdersTable[[#This Row],[Qty Ordered]]*PurchaseOrdersTable[[#This Row],[Unit Price (₹)]]</f>
        <v>876614.4</v>
      </c>
      <c r="Q95" s="8">
        <f>PurchaseOrdersTable[[#This Row],[Delivery Date]]-PurchaseOrdersTable[[#This Row],[Order Date]]</f>
        <v>16</v>
      </c>
      <c r="R95" s="8">
        <f>MAX(0, PurchaseOrdersTable[[#This Row],[Delivery Date]]-PurchaseOrdersTable[[#This Row],[Promised Date]])</f>
        <v>5</v>
      </c>
      <c r="S95" s="9">
        <f>PurchaseOrdersTable[[#This Row],[Rejected Qty]]/PurchaseOrdersTable[[#This Row],[Qty Received]]</f>
        <v>4.1935483870967745E-2</v>
      </c>
      <c r="T95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96" spans="1:20">
      <c r="A96" t="s">
        <v>151</v>
      </c>
      <c r="B96" s="2">
        <v>46029</v>
      </c>
      <c r="C96" s="2">
        <v>46041</v>
      </c>
      <c r="D96" s="2">
        <v>46047</v>
      </c>
      <c r="E96" t="s">
        <v>38</v>
      </c>
      <c r="F96" t="s">
        <v>45</v>
      </c>
      <c r="G96" t="s">
        <v>64</v>
      </c>
      <c r="H96" s="3">
        <v>400</v>
      </c>
      <c r="I96" s="3">
        <v>394</v>
      </c>
      <c r="J96" s="3">
        <v>20</v>
      </c>
      <c r="K96" s="4">
        <v>1136.6099999999999</v>
      </c>
      <c r="L96" t="s">
        <v>28</v>
      </c>
      <c r="M96" s="6" t="str">
        <f>VLOOKUP(PurchaseOrdersTable[[#This Row],[Supplier Code]],SupplierMasterTable[[Supplier Code]:[Supplier Name]],2,)</f>
        <v>Eastern Engineering Traders</v>
      </c>
      <c r="N96" s="6" t="str">
        <f>VLOOKUP(PurchaseOrdersTable[[#This Row],[Product Code]],ProductMasterTable[[Product Code]:[Product Name]],2,)</f>
        <v>Deep-Groove Ball Bearing</v>
      </c>
      <c r="O96" s="6" t="str">
        <f>VLOOKUP(PurchaseOrdersTable[[#This Row],[Product Code]],ProductMasterTable[[#All],[Product Code]:[Category]],3,)</f>
        <v>Bearings and Mechanical</v>
      </c>
      <c r="P96" s="7">
        <f>PurchaseOrdersTable[[#This Row],[Qty Ordered]]*PurchaseOrdersTable[[#This Row],[Unit Price (₹)]]</f>
        <v>454643.99999999994</v>
      </c>
      <c r="Q96" s="8">
        <f>PurchaseOrdersTable[[#This Row],[Delivery Date]]-PurchaseOrdersTable[[#This Row],[Order Date]]</f>
        <v>18</v>
      </c>
      <c r="R96" s="8">
        <f>MAX(0, PurchaseOrdersTable[[#This Row],[Delivery Date]]-PurchaseOrdersTable[[#This Row],[Promised Date]])</f>
        <v>6</v>
      </c>
      <c r="S96" s="9">
        <f>PurchaseOrdersTable[[#This Row],[Rejected Qty]]/PurchaseOrdersTable[[#This Row],[Qty Received]]</f>
        <v>5.0761421319796954E-2</v>
      </c>
      <c r="T96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97" spans="1:20">
      <c r="A97" t="s">
        <v>152</v>
      </c>
      <c r="B97" s="2">
        <v>46194</v>
      </c>
      <c r="C97" s="2">
        <v>46199</v>
      </c>
      <c r="D97" s="2">
        <v>46199</v>
      </c>
      <c r="E97" t="s">
        <v>25</v>
      </c>
      <c r="F97" t="s">
        <v>42</v>
      </c>
      <c r="G97" t="s">
        <v>58</v>
      </c>
      <c r="H97" s="3">
        <v>1950</v>
      </c>
      <c r="I97" s="3">
        <v>1933</v>
      </c>
      <c r="J97" s="3">
        <v>2</v>
      </c>
      <c r="K97" s="4">
        <v>329.68</v>
      </c>
      <c r="L97" t="s">
        <v>61</v>
      </c>
      <c r="M97" s="6" t="str">
        <f>VLOOKUP(PurchaseOrdersTable[[#This Row],[Supplier Code]],SupplierMasterTable[[Supplier Code]:[Supplier Name]],2,)</f>
        <v>SafePro India</v>
      </c>
      <c r="N97" s="6" t="str">
        <f>VLOOKUP(PurchaseOrdersTable[[#This Row],[Product Code]],ProductMasterTable[[Product Code]:[Product Name]],2,)</f>
        <v>Safety Goggles</v>
      </c>
      <c r="O97" s="6" t="str">
        <f>VLOOKUP(PurchaseOrdersTable[[#This Row],[Product Code]],ProductMasterTable[[#All],[Product Code]:[Category]],3,)</f>
        <v>Safety and PPE</v>
      </c>
      <c r="P97" s="7">
        <f>PurchaseOrdersTable[[#This Row],[Qty Ordered]]*PurchaseOrdersTable[[#This Row],[Unit Price (₹)]]</f>
        <v>642876</v>
      </c>
      <c r="Q97" s="8">
        <f>PurchaseOrdersTable[[#This Row],[Delivery Date]]-PurchaseOrdersTable[[#This Row],[Order Date]]</f>
        <v>5</v>
      </c>
      <c r="R97" s="8">
        <f>MAX(0, PurchaseOrdersTable[[#This Row],[Delivery Date]]-PurchaseOrdersTable[[#This Row],[Promised Date]])</f>
        <v>0</v>
      </c>
      <c r="S97" s="9">
        <f>PurchaseOrdersTable[[#This Row],[Rejected Qty]]/PurchaseOrdersTable[[#This Row],[Qty Received]]</f>
        <v>1.0346611484738748E-3</v>
      </c>
      <c r="T97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98" spans="1:20">
      <c r="A98" t="s">
        <v>153</v>
      </c>
      <c r="B98" s="2">
        <v>46093</v>
      </c>
      <c r="C98" s="2">
        <v>46101</v>
      </c>
      <c r="D98" s="2">
        <v>46103</v>
      </c>
      <c r="E98" t="s">
        <v>30</v>
      </c>
      <c r="F98" t="s">
        <v>35</v>
      </c>
      <c r="G98" t="s">
        <v>70</v>
      </c>
      <c r="H98" s="3">
        <v>680</v>
      </c>
      <c r="I98" s="3">
        <v>678</v>
      </c>
      <c r="J98" s="3">
        <v>10</v>
      </c>
      <c r="K98" s="4">
        <v>4298.95</v>
      </c>
      <c r="L98" t="s">
        <v>28</v>
      </c>
      <c r="M98" s="6" t="str">
        <f>VLOOKUP(PurchaseOrdersTable[[#This Row],[Supplier Code]],SupplierMasterTable[[Supplier Code]:[Supplier Name]],2,)</f>
        <v>Western MRO Hub</v>
      </c>
      <c r="N98" s="6" t="str">
        <f>VLOOKUP(PurchaseOrdersTable[[#This Row],[Product Code]],ProductMasterTable[[Product Code]:[Product Name]],2,)</f>
        <v>Copper Cable Roll - 100 m</v>
      </c>
      <c r="O98" s="6" t="str">
        <f>VLOOKUP(PurchaseOrdersTable[[#This Row],[Product Code]],ProductMasterTable[[#All],[Product Code]:[Category]],3,)</f>
        <v>Electricals</v>
      </c>
      <c r="P98" s="7">
        <f>PurchaseOrdersTable[[#This Row],[Qty Ordered]]*PurchaseOrdersTable[[#This Row],[Unit Price (₹)]]</f>
        <v>2923286</v>
      </c>
      <c r="Q98" s="8">
        <f>PurchaseOrdersTable[[#This Row],[Delivery Date]]-PurchaseOrdersTable[[#This Row],[Order Date]]</f>
        <v>10</v>
      </c>
      <c r="R98" s="8">
        <f>MAX(0, PurchaseOrdersTable[[#This Row],[Delivery Date]]-PurchaseOrdersTable[[#This Row],[Promised Date]])</f>
        <v>2</v>
      </c>
      <c r="S98" s="9">
        <f>PurchaseOrdersTable[[#This Row],[Rejected Qty]]/PurchaseOrdersTable[[#This Row],[Qty Received]]</f>
        <v>1.4749262536873156E-2</v>
      </c>
      <c r="T98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99" spans="1:20">
      <c r="A99" t="s">
        <v>154</v>
      </c>
      <c r="B99" s="2">
        <v>46180</v>
      </c>
      <c r="C99" s="2">
        <v>46185</v>
      </c>
      <c r="D99" s="2">
        <v>46190</v>
      </c>
      <c r="E99" t="s">
        <v>34</v>
      </c>
      <c r="F99" t="s">
        <v>57</v>
      </c>
      <c r="G99" t="s">
        <v>96</v>
      </c>
      <c r="H99" s="3">
        <v>310</v>
      </c>
      <c r="I99" s="3">
        <v>304</v>
      </c>
      <c r="J99" s="3">
        <v>25</v>
      </c>
      <c r="K99" s="4">
        <v>4721.7</v>
      </c>
      <c r="L99" t="s">
        <v>28</v>
      </c>
      <c r="M99" s="6" t="str">
        <f>VLOOKUP(PurchaseOrdersTable[[#This Row],[Supplier Code]],SupplierMasterTable[[Supplier Code]:[Supplier Name]],2,)</f>
        <v>Metro Industrial Mart</v>
      </c>
      <c r="N99" s="6" t="str">
        <f>VLOOKUP(PurchaseOrdersTable[[#This Row],[Product Code]],ProductMasterTable[[Product Code]:[Product Name]],2,)</f>
        <v>Multipurpose Lubricant - Drum</v>
      </c>
      <c r="O99" s="6" t="str">
        <f>VLOOKUP(PurchaseOrdersTable[[#This Row],[Product Code]],ProductMasterTable[[#All],[Product Code]:[Category]],3,)</f>
        <v>Cleaning and Consumables</v>
      </c>
      <c r="P99" s="7">
        <f>PurchaseOrdersTable[[#This Row],[Qty Ordered]]*PurchaseOrdersTable[[#This Row],[Unit Price (₹)]]</f>
        <v>1463727</v>
      </c>
      <c r="Q99" s="8">
        <f>PurchaseOrdersTable[[#This Row],[Delivery Date]]-PurchaseOrdersTable[[#This Row],[Order Date]]</f>
        <v>10</v>
      </c>
      <c r="R99" s="8">
        <f>MAX(0, PurchaseOrdersTable[[#This Row],[Delivery Date]]-PurchaseOrdersTable[[#This Row],[Promised Date]])</f>
        <v>5</v>
      </c>
      <c r="S99" s="9">
        <f>PurchaseOrdersTable[[#This Row],[Rejected Qty]]/PurchaseOrdersTable[[#This Row],[Qty Received]]</f>
        <v>8.2236842105263164E-2</v>
      </c>
      <c r="T99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00" spans="1:20">
      <c r="A100" t="s">
        <v>155</v>
      </c>
      <c r="B100" s="2">
        <v>46052</v>
      </c>
      <c r="C100" s="2">
        <v>46065</v>
      </c>
      <c r="D100" s="2">
        <v>46071</v>
      </c>
      <c r="E100" t="s">
        <v>38</v>
      </c>
      <c r="F100" t="s">
        <v>54</v>
      </c>
      <c r="G100" t="s">
        <v>36</v>
      </c>
      <c r="H100" s="3">
        <v>360</v>
      </c>
      <c r="I100" s="3">
        <v>345</v>
      </c>
      <c r="J100" s="3">
        <v>11</v>
      </c>
      <c r="K100" s="4">
        <v>2090.87</v>
      </c>
      <c r="L100" t="s">
        <v>28</v>
      </c>
      <c r="M100" s="6" t="str">
        <f>VLOOKUP(PurchaseOrdersTable[[#This Row],[Supplier Code]],SupplierMasterTable[[Supplier Code]:[Supplier Name]],2,)</f>
        <v>Eastline Components</v>
      </c>
      <c r="N100" s="6" t="str">
        <f>VLOOKUP(PurchaseOrdersTable[[#This Row],[Product Code]],ProductMasterTable[[Product Code]:[Product Name]],2,)</f>
        <v>Three-Phase Contactor</v>
      </c>
      <c r="O100" s="6" t="str">
        <f>VLOOKUP(PurchaseOrdersTable[[#This Row],[Product Code]],ProductMasterTable[[#All],[Product Code]:[Category]],3,)</f>
        <v>Electricals</v>
      </c>
      <c r="P100" s="7">
        <f>PurchaseOrdersTable[[#This Row],[Qty Ordered]]*PurchaseOrdersTable[[#This Row],[Unit Price (₹)]]</f>
        <v>752713.2</v>
      </c>
      <c r="Q100" s="8">
        <f>PurchaseOrdersTable[[#This Row],[Delivery Date]]-PurchaseOrdersTable[[#This Row],[Order Date]]</f>
        <v>19</v>
      </c>
      <c r="R100" s="8">
        <f>MAX(0, PurchaseOrdersTable[[#This Row],[Delivery Date]]-PurchaseOrdersTable[[#This Row],[Promised Date]])</f>
        <v>6</v>
      </c>
      <c r="S100" s="9">
        <f>PurchaseOrdersTable[[#This Row],[Rejected Qty]]/PurchaseOrdersTable[[#This Row],[Qty Received]]</f>
        <v>3.1884057971014491E-2</v>
      </c>
      <c r="T100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01" spans="1:20">
      <c r="A101" t="s">
        <v>156</v>
      </c>
      <c r="B101" s="2">
        <v>46148</v>
      </c>
      <c r="C101" s="2">
        <v>46154</v>
      </c>
      <c r="D101" s="2">
        <v>46156</v>
      </c>
      <c r="E101" t="s">
        <v>25</v>
      </c>
      <c r="F101" t="s">
        <v>94</v>
      </c>
      <c r="G101" t="s">
        <v>48</v>
      </c>
      <c r="H101" s="3">
        <v>40</v>
      </c>
      <c r="I101" s="3">
        <v>39</v>
      </c>
      <c r="J101" s="3">
        <v>0</v>
      </c>
      <c r="K101" s="4">
        <v>4942.09</v>
      </c>
      <c r="L101" t="s">
        <v>28</v>
      </c>
      <c r="M101" s="6" t="str">
        <f>VLOOKUP(PurchaseOrdersTable[[#This Row],[Supplier Code]],SupplierMasterTable[[Supplier Code]:[Supplier Name]],2,)</f>
        <v>Precision Tools India</v>
      </c>
      <c r="N101" s="6" t="str">
        <f>VLOOKUP(PurchaseOrdersTable[[#This Row],[Product Code]],ProductMasterTable[[Product Code]:[Product Name]],2,)</f>
        <v>Industrial Torque Wrench</v>
      </c>
      <c r="O101" s="6" t="str">
        <f>VLOOKUP(PurchaseOrdersTable[[#This Row],[Product Code]],ProductMasterTable[[#All],[Product Code]:[Category]],3,)</f>
        <v>Hand Tools</v>
      </c>
      <c r="P101" s="7">
        <f>PurchaseOrdersTable[[#This Row],[Qty Ordered]]*PurchaseOrdersTable[[#This Row],[Unit Price (₹)]]</f>
        <v>197683.6</v>
      </c>
      <c r="Q101" s="8">
        <f>PurchaseOrdersTable[[#This Row],[Delivery Date]]-PurchaseOrdersTable[[#This Row],[Order Date]]</f>
        <v>8</v>
      </c>
      <c r="R101" s="8">
        <f>MAX(0, PurchaseOrdersTable[[#This Row],[Delivery Date]]-PurchaseOrdersTable[[#This Row],[Promised Date]])</f>
        <v>2</v>
      </c>
      <c r="S101" s="9">
        <f>PurchaseOrdersTable[[#This Row],[Rejected Qty]]/PurchaseOrdersTable[[#This Row],[Qty Received]]</f>
        <v>0</v>
      </c>
      <c r="T101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102" spans="1:20">
      <c r="A102" t="s">
        <v>157</v>
      </c>
      <c r="B102" s="2">
        <v>46195</v>
      </c>
      <c r="C102" s="2">
        <v>46200</v>
      </c>
      <c r="D102" s="2">
        <v>46199</v>
      </c>
      <c r="E102" t="s">
        <v>30</v>
      </c>
      <c r="F102" t="s">
        <v>42</v>
      </c>
      <c r="G102" t="s">
        <v>40</v>
      </c>
      <c r="H102" s="3">
        <v>800</v>
      </c>
      <c r="I102" s="3">
        <v>800</v>
      </c>
      <c r="J102" s="3">
        <v>1</v>
      </c>
      <c r="K102" s="4">
        <v>474.89</v>
      </c>
      <c r="L102" t="s">
        <v>61</v>
      </c>
      <c r="M102" s="6" t="str">
        <f>VLOOKUP(PurchaseOrdersTable[[#This Row],[Supplier Code]],SupplierMasterTable[[Supplier Code]:[Supplier Name]],2,)</f>
        <v>SafePro India</v>
      </c>
      <c r="N102" s="6" t="str">
        <f>VLOOKUP(PurchaseOrdersTable[[#This Row],[Product Code]],ProductMasterTable[[Product Code]:[Product Name]],2,)</f>
        <v>Industrial Safety Helmet</v>
      </c>
      <c r="O102" s="6" t="str">
        <f>VLOOKUP(PurchaseOrdersTable[[#This Row],[Product Code]],ProductMasterTable[[#All],[Product Code]:[Category]],3,)</f>
        <v>Safety and PPE</v>
      </c>
      <c r="P102" s="7">
        <f>PurchaseOrdersTable[[#This Row],[Qty Ordered]]*PurchaseOrdersTable[[#This Row],[Unit Price (₹)]]</f>
        <v>379912</v>
      </c>
      <c r="Q102" s="8">
        <f>PurchaseOrdersTable[[#This Row],[Delivery Date]]-PurchaseOrdersTable[[#This Row],[Order Date]]</f>
        <v>4</v>
      </c>
      <c r="R102" s="8">
        <f>MAX(0, PurchaseOrdersTable[[#This Row],[Delivery Date]]-PurchaseOrdersTable[[#This Row],[Promised Date]])</f>
        <v>0</v>
      </c>
      <c r="S102" s="9">
        <f>PurchaseOrdersTable[[#This Row],[Rejected Qty]]/PurchaseOrdersTable[[#This Row],[Qty Received]]</f>
        <v>1.25E-3</v>
      </c>
      <c r="T102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103" spans="1:20">
      <c r="A103" t="s">
        <v>158</v>
      </c>
      <c r="B103" s="2">
        <v>46140</v>
      </c>
      <c r="C103" s="2">
        <v>46147</v>
      </c>
      <c r="D103" s="2">
        <v>46148</v>
      </c>
      <c r="E103" t="s">
        <v>34</v>
      </c>
      <c r="F103" t="s">
        <v>42</v>
      </c>
      <c r="G103" t="s">
        <v>40</v>
      </c>
      <c r="H103" s="3">
        <v>1150</v>
      </c>
      <c r="I103" s="3">
        <v>1141</v>
      </c>
      <c r="J103" s="3">
        <v>12</v>
      </c>
      <c r="K103" s="4">
        <v>441.98</v>
      </c>
      <c r="L103" t="s">
        <v>28</v>
      </c>
      <c r="M103" s="6" t="str">
        <f>VLOOKUP(PurchaseOrdersTable[[#This Row],[Supplier Code]],SupplierMasterTable[[Supplier Code]:[Supplier Name]],2,)</f>
        <v>SafePro India</v>
      </c>
      <c r="N103" s="6" t="str">
        <f>VLOOKUP(PurchaseOrdersTable[[#This Row],[Product Code]],ProductMasterTable[[Product Code]:[Product Name]],2,)</f>
        <v>Industrial Safety Helmet</v>
      </c>
      <c r="O103" s="6" t="str">
        <f>VLOOKUP(PurchaseOrdersTable[[#This Row],[Product Code]],ProductMasterTable[[#All],[Product Code]:[Category]],3,)</f>
        <v>Safety and PPE</v>
      </c>
      <c r="P103" s="7">
        <f>PurchaseOrdersTable[[#This Row],[Qty Ordered]]*PurchaseOrdersTable[[#This Row],[Unit Price (₹)]]</f>
        <v>508277</v>
      </c>
      <c r="Q103" s="8">
        <f>PurchaseOrdersTable[[#This Row],[Delivery Date]]-PurchaseOrdersTable[[#This Row],[Order Date]]</f>
        <v>8</v>
      </c>
      <c r="R103" s="8">
        <f>MAX(0, PurchaseOrdersTable[[#This Row],[Delivery Date]]-PurchaseOrdersTable[[#This Row],[Promised Date]])</f>
        <v>1</v>
      </c>
      <c r="S103" s="9">
        <f>PurchaseOrdersTable[[#This Row],[Rejected Qty]]/PurchaseOrdersTable[[#This Row],[Qty Received]]</f>
        <v>1.0517090271691499E-2</v>
      </c>
      <c r="T103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104" spans="1:20">
      <c r="A104" t="s">
        <v>159</v>
      </c>
      <c r="B104" s="2">
        <v>46108</v>
      </c>
      <c r="C104" s="2">
        <v>46119</v>
      </c>
      <c r="D104" s="2">
        <v>46133</v>
      </c>
      <c r="E104" t="s">
        <v>38</v>
      </c>
      <c r="F104" t="s">
        <v>54</v>
      </c>
      <c r="G104" t="s">
        <v>70</v>
      </c>
      <c r="H104" s="3">
        <v>260</v>
      </c>
      <c r="I104" s="3">
        <v>253</v>
      </c>
      <c r="J104" s="3">
        <v>21</v>
      </c>
      <c r="K104" s="4">
        <v>4042.57</v>
      </c>
      <c r="L104" t="s">
        <v>61</v>
      </c>
      <c r="M104" s="6" t="str">
        <f>VLOOKUP(PurchaseOrdersTable[[#This Row],[Supplier Code]],SupplierMasterTable[[Supplier Code]:[Supplier Name]],2,)</f>
        <v>Eastline Components</v>
      </c>
      <c r="N104" s="6" t="str">
        <f>VLOOKUP(PurchaseOrdersTable[[#This Row],[Product Code]],ProductMasterTable[[Product Code]:[Product Name]],2,)</f>
        <v>Copper Cable Roll - 100 m</v>
      </c>
      <c r="O104" s="6" t="str">
        <f>VLOOKUP(PurchaseOrdersTable[[#This Row],[Product Code]],ProductMasterTable[[#All],[Product Code]:[Category]],3,)</f>
        <v>Electricals</v>
      </c>
      <c r="P104" s="7">
        <f>PurchaseOrdersTable[[#This Row],[Qty Ordered]]*PurchaseOrdersTable[[#This Row],[Unit Price (₹)]]</f>
        <v>1051068.2</v>
      </c>
      <c r="Q104" s="8">
        <f>PurchaseOrdersTable[[#This Row],[Delivery Date]]-PurchaseOrdersTable[[#This Row],[Order Date]]</f>
        <v>25</v>
      </c>
      <c r="R104" s="8">
        <f>MAX(0, PurchaseOrdersTable[[#This Row],[Delivery Date]]-PurchaseOrdersTable[[#This Row],[Promised Date]])</f>
        <v>14</v>
      </c>
      <c r="S104" s="9">
        <f>PurchaseOrdersTable[[#This Row],[Rejected Qty]]/PurchaseOrdersTable[[#This Row],[Qty Received]]</f>
        <v>8.3003952569169967E-2</v>
      </c>
      <c r="T104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05" spans="1:20">
      <c r="A105" t="s">
        <v>160</v>
      </c>
      <c r="B105" s="2">
        <v>46038</v>
      </c>
      <c r="C105" s="2">
        <v>46045</v>
      </c>
      <c r="D105" s="2">
        <v>46049</v>
      </c>
      <c r="E105" t="s">
        <v>25</v>
      </c>
      <c r="F105" t="s">
        <v>26</v>
      </c>
      <c r="G105" t="s">
        <v>48</v>
      </c>
      <c r="H105" s="3">
        <v>130</v>
      </c>
      <c r="I105" s="3">
        <v>128</v>
      </c>
      <c r="J105" s="3">
        <v>3</v>
      </c>
      <c r="K105" s="4">
        <v>4782.13</v>
      </c>
      <c r="L105" t="s">
        <v>61</v>
      </c>
      <c r="M105" s="6" t="str">
        <f>VLOOKUP(PurchaseOrdersTable[[#This Row],[Supplier Code]],SupplierMasterTable[[Supplier Code]:[Supplier Name]],2,)</f>
        <v>ProServe MRO Solutions</v>
      </c>
      <c r="N105" s="6" t="str">
        <f>VLOOKUP(PurchaseOrdersTable[[#This Row],[Product Code]],ProductMasterTable[[Product Code]:[Product Name]],2,)</f>
        <v>Industrial Torque Wrench</v>
      </c>
      <c r="O105" s="6" t="str">
        <f>VLOOKUP(PurchaseOrdersTable[[#This Row],[Product Code]],ProductMasterTable[[#All],[Product Code]:[Category]],3,)</f>
        <v>Hand Tools</v>
      </c>
      <c r="P105" s="7">
        <f>PurchaseOrdersTable[[#This Row],[Qty Ordered]]*PurchaseOrdersTable[[#This Row],[Unit Price (₹)]]</f>
        <v>621676.9</v>
      </c>
      <c r="Q105" s="8">
        <f>PurchaseOrdersTable[[#This Row],[Delivery Date]]-PurchaseOrdersTable[[#This Row],[Order Date]]</f>
        <v>11</v>
      </c>
      <c r="R105" s="8">
        <f>MAX(0, PurchaseOrdersTable[[#This Row],[Delivery Date]]-PurchaseOrdersTable[[#This Row],[Promised Date]])</f>
        <v>4</v>
      </c>
      <c r="S105" s="9">
        <f>PurchaseOrdersTable[[#This Row],[Rejected Qty]]/PurchaseOrdersTable[[#This Row],[Qty Received]]</f>
        <v>2.34375E-2</v>
      </c>
      <c r="T105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06" spans="1:20">
      <c r="A106" t="s">
        <v>161</v>
      </c>
      <c r="B106" s="2">
        <v>46124</v>
      </c>
      <c r="C106" s="2">
        <v>46134</v>
      </c>
      <c r="D106" s="2">
        <v>46136</v>
      </c>
      <c r="E106" t="s">
        <v>30</v>
      </c>
      <c r="F106" t="s">
        <v>39</v>
      </c>
      <c r="G106" t="s">
        <v>58</v>
      </c>
      <c r="H106" s="3">
        <v>2550</v>
      </c>
      <c r="I106" s="3">
        <v>2539</v>
      </c>
      <c r="J106" s="3">
        <v>75</v>
      </c>
      <c r="K106" s="4">
        <v>300.44</v>
      </c>
      <c r="L106" t="s">
        <v>28</v>
      </c>
      <c r="M106" s="6" t="str">
        <f>VLOOKUP(PurchaseOrdersTable[[#This Row],[Supplier Code]],SupplierMasterTable[[Supplier Code]:[Supplier Name]],2,)</f>
        <v>Bharat Industrial Supplies</v>
      </c>
      <c r="N106" s="6" t="str">
        <f>VLOOKUP(PurchaseOrdersTable[[#This Row],[Product Code]],ProductMasterTable[[Product Code]:[Product Name]],2,)</f>
        <v>Safety Goggles</v>
      </c>
      <c r="O106" s="6" t="str">
        <f>VLOOKUP(PurchaseOrdersTable[[#This Row],[Product Code]],ProductMasterTable[[#All],[Product Code]:[Category]],3,)</f>
        <v>Safety and PPE</v>
      </c>
      <c r="P106" s="7">
        <f>PurchaseOrdersTable[[#This Row],[Qty Ordered]]*PurchaseOrdersTable[[#This Row],[Unit Price (₹)]]</f>
        <v>766122</v>
      </c>
      <c r="Q106" s="8">
        <f>PurchaseOrdersTable[[#This Row],[Delivery Date]]-PurchaseOrdersTable[[#This Row],[Order Date]]</f>
        <v>12</v>
      </c>
      <c r="R106" s="8">
        <f>MAX(0, PurchaseOrdersTable[[#This Row],[Delivery Date]]-PurchaseOrdersTable[[#This Row],[Promised Date]])</f>
        <v>2</v>
      </c>
      <c r="S106" s="9">
        <f>PurchaseOrdersTable[[#This Row],[Rejected Qty]]/PurchaseOrdersTable[[#This Row],[Qty Received]]</f>
        <v>2.9539188656951557E-2</v>
      </c>
      <c r="T106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107" spans="1:20">
      <c r="A107" t="s">
        <v>162</v>
      </c>
      <c r="B107" s="2">
        <v>46161</v>
      </c>
      <c r="C107" s="2">
        <v>46169</v>
      </c>
      <c r="D107" s="2">
        <v>46175</v>
      </c>
      <c r="E107" t="s">
        <v>34</v>
      </c>
      <c r="F107" t="s">
        <v>39</v>
      </c>
      <c r="G107" t="s">
        <v>58</v>
      </c>
      <c r="H107" s="3">
        <v>2000</v>
      </c>
      <c r="I107" s="3">
        <v>1984</v>
      </c>
      <c r="J107" s="3">
        <v>70</v>
      </c>
      <c r="K107" s="4">
        <v>305.2</v>
      </c>
      <c r="L107" t="s">
        <v>61</v>
      </c>
      <c r="M107" s="6" t="str">
        <f>VLOOKUP(PurchaseOrdersTable[[#This Row],[Supplier Code]],SupplierMasterTable[[Supplier Code]:[Supplier Name]],2,)</f>
        <v>Bharat Industrial Supplies</v>
      </c>
      <c r="N107" s="6" t="str">
        <f>VLOOKUP(PurchaseOrdersTable[[#This Row],[Product Code]],ProductMasterTable[[Product Code]:[Product Name]],2,)</f>
        <v>Safety Goggles</v>
      </c>
      <c r="O107" s="6" t="str">
        <f>VLOOKUP(PurchaseOrdersTable[[#This Row],[Product Code]],ProductMasterTable[[#All],[Product Code]:[Category]],3,)</f>
        <v>Safety and PPE</v>
      </c>
      <c r="P107" s="7">
        <f>PurchaseOrdersTable[[#This Row],[Qty Ordered]]*PurchaseOrdersTable[[#This Row],[Unit Price (₹)]]</f>
        <v>610400</v>
      </c>
      <c r="Q107" s="8">
        <f>PurchaseOrdersTable[[#This Row],[Delivery Date]]-PurchaseOrdersTable[[#This Row],[Order Date]]</f>
        <v>14</v>
      </c>
      <c r="R107" s="8">
        <f>MAX(0, PurchaseOrdersTable[[#This Row],[Delivery Date]]-PurchaseOrdersTable[[#This Row],[Promised Date]])</f>
        <v>6</v>
      </c>
      <c r="S107" s="9">
        <f>PurchaseOrdersTable[[#This Row],[Rejected Qty]]/PurchaseOrdersTable[[#This Row],[Qty Received]]</f>
        <v>3.5282258064516132E-2</v>
      </c>
      <c r="T107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08" spans="1:20">
      <c r="A108" t="s">
        <v>163</v>
      </c>
      <c r="B108" s="2">
        <v>46059</v>
      </c>
      <c r="C108" s="2">
        <v>46068</v>
      </c>
      <c r="D108" s="2">
        <v>46073</v>
      </c>
      <c r="E108" t="s">
        <v>38</v>
      </c>
      <c r="F108" t="s">
        <v>26</v>
      </c>
      <c r="G108" t="s">
        <v>46</v>
      </c>
      <c r="H108" s="3">
        <v>460</v>
      </c>
      <c r="I108" s="3">
        <v>453</v>
      </c>
      <c r="J108" s="3">
        <v>11</v>
      </c>
      <c r="K108" s="4">
        <v>1772.43</v>
      </c>
      <c r="L108" t="s">
        <v>28</v>
      </c>
      <c r="M108" s="6" t="str">
        <f>VLOOKUP(PurchaseOrdersTable[[#This Row],[Supplier Code]],SupplierMasterTable[[Supplier Code]:[Supplier Name]],2,)</f>
        <v>ProServe MRO Solutions</v>
      </c>
      <c r="N108" s="6" t="str">
        <f>VLOOKUP(PurchaseOrdersTable[[#This Row],[Product Code]],ProductMasterTable[[Product Code]:[Product Name]],2,)</f>
        <v>Industrial LED High-Bay Light</v>
      </c>
      <c r="O108" s="6" t="str">
        <f>VLOOKUP(PurchaseOrdersTable[[#This Row],[Product Code]],ProductMasterTable[[#All],[Product Code]:[Category]],3,)</f>
        <v>Electricals</v>
      </c>
      <c r="P108" s="7">
        <f>PurchaseOrdersTable[[#This Row],[Qty Ordered]]*PurchaseOrdersTable[[#This Row],[Unit Price (₹)]]</f>
        <v>815317.8</v>
      </c>
      <c r="Q108" s="8">
        <f>PurchaseOrdersTable[[#This Row],[Delivery Date]]-PurchaseOrdersTable[[#This Row],[Order Date]]</f>
        <v>14</v>
      </c>
      <c r="R108" s="8">
        <f>MAX(0, PurchaseOrdersTable[[#This Row],[Delivery Date]]-PurchaseOrdersTable[[#This Row],[Promised Date]])</f>
        <v>5</v>
      </c>
      <c r="S108" s="9">
        <f>PurchaseOrdersTable[[#This Row],[Rejected Qty]]/PurchaseOrdersTable[[#This Row],[Qty Received]]</f>
        <v>2.4282560706401765E-2</v>
      </c>
      <c r="T108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09" spans="1:20">
      <c r="A109" t="s">
        <v>164</v>
      </c>
      <c r="B109" s="2">
        <v>46096</v>
      </c>
      <c r="C109" s="2">
        <v>46105</v>
      </c>
      <c r="D109" s="2">
        <v>46109</v>
      </c>
      <c r="E109" t="s">
        <v>25</v>
      </c>
      <c r="F109" t="s">
        <v>26</v>
      </c>
      <c r="G109" t="s">
        <v>43</v>
      </c>
      <c r="H109" s="3">
        <v>1950</v>
      </c>
      <c r="I109" s="3">
        <v>1939</v>
      </c>
      <c r="J109" s="3">
        <v>51</v>
      </c>
      <c r="K109" s="4">
        <v>741.7</v>
      </c>
      <c r="L109" t="s">
        <v>28</v>
      </c>
      <c r="M109" s="6" t="str">
        <f>VLOOKUP(PurchaseOrdersTable[[#This Row],[Supplier Code]],SupplierMasterTable[[Supplier Code]:[Supplier Name]],2,)</f>
        <v>ProServe MRO Solutions</v>
      </c>
      <c r="N109" s="6" t="str">
        <f>VLOOKUP(PurchaseOrdersTable[[#This Row],[Product Code]],ProductMasterTable[[Product Code]:[Product Name]],2,)</f>
        <v>Nitrile Gloves - Box of 100</v>
      </c>
      <c r="O109" s="6" t="str">
        <f>VLOOKUP(PurchaseOrdersTable[[#This Row],[Product Code]],ProductMasterTable[[#All],[Product Code]:[Category]],3,)</f>
        <v>Safety and PPE</v>
      </c>
      <c r="P109" s="7">
        <f>PurchaseOrdersTable[[#This Row],[Qty Ordered]]*PurchaseOrdersTable[[#This Row],[Unit Price (₹)]]</f>
        <v>1446315</v>
      </c>
      <c r="Q109" s="8">
        <f>PurchaseOrdersTable[[#This Row],[Delivery Date]]-PurchaseOrdersTable[[#This Row],[Order Date]]</f>
        <v>13</v>
      </c>
      <c r="R109" s="8">
        <f>MAX(0, PurchaseOrdersTable[[#This Row],[Delivery Date]]-PurchaseOrdersTable[[#This Row],[Promised Date]])</f>
        <v>4</v>
      </c>
      <c r="S109" s="9">
        <f>PurchaseOrdersTable[[#This Row],[Rejected Qty]]/PurchaseOrdersTable[[#This Row],[Qty Received]]</f>
        <v>2.630221763795771E-2</v>
      </c>
      <c r="T109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10" spans="1:20">
      <c r="A110" t="s">
        <v>165</v>
      </c>
      <c r="B110" s="2">
        <v>46039</v>
      </c>
      <c r="C110" s="2">
        <v>46044</v>
      </c>
      <c r="D110" s="2">
        <v>46050</v>
      </c>
      <c r="E110" t="s">
        <v>30</v>
      </c>
      <c r="F110" t="s">
        <v>57</v>
      </c>
      <c r="G110" t="s">
        <v>108</v>
      </c>
      <c r="H110" s="3">
        <v>110</v>
      </c>
      <c r="I110" s="3">
        <v>108</v>
      </c>
      <c r="J110" s="3">
        <v>10</v>
      </c>
      <c r="K110" s="4">
        <v>1467.98</v>
      </c>
      <c r="L110" t="s">
        <v>28</v>
      </c>
      <c r="M110" s="6" t="str">
        <f>VLOOKUP(PurchaseOrdersTable[[#This Row],[Supplier Code]],SupplierMasterTable[[Supplier Code]:[Supplier Name]],2,)</f>
        <v>Metro Industrial Mart</v>
      </c>
      <c r="N110" s="6" t="str">
        <f>VLOOKUP(PurchaseOrdersTable[[#This Row],[Product Code]],ProductMasterTable[[Product Code]:[Product Name]],2,)</f>
        <v>Chemical Absorbent Pads - Pack</v>
      </c>
      <c r="O110" s="6" t="str">
        <f>VLOOKUP(PurchaseOrdersTable[[#This Row],[Product Code]],ProductMasterTable[[#All],[Product Code]:[Category]],3,)</f>
        <v>Cleaning and Consumables</v>
      </c>
      <c r="P110" s="7">
        <f>PurchaseOrdersTable[[#This Row],[Qty Ordered]]*PurchaseOrdersTable[[#This Row],[Unit Price (₹)]]</f>
        <v>161477.79999999999</v>
      </c>
      <c r="Q110" s="8">
        <f>PurchaseOrdersTable[[#This Row],[Delivery Date]]-PurchaseOrdersTable[[#This Row],[Order Date]]</f>
        <v>11</v>
      </c>
      <c r="R110" s="8">
        <f>MAX(0, PurchaseOrdersTable[[#This Row],[Delivery Date]]-PurchaseOrdersTable[[#This Row],[Promised Date]])</f>
        <v>6</v>
      </c>
      <c r="S110" s="9">
        <f>PurchaseOrdersTable[[#This Row],[Rejected Qty]]/PurchaseOrdersTable[[#This Row],[Qty Received]]</f>
        <v>9.2592592592592587E-2</v>
      </c>
      <c r="T110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11" spans="1:20">
      <c r="A111" t="s">
        <v>166</v>
      </c>
      <c r="B111" s="2">
        <v>46164</v>
      </c>
      <c r="C111" s="2">
        <v>46173</v>
      </c>
      <c r="D111" s="2">
        <v>46172</v>
      </c>
      <c r="E111" t="s">
        <v>34</v>
      </c>
      <c r="F111" t="s">
        <v>69</v>
      </c>
      <c r="G111" t="s">
        <v>46</v>
      </c>
      <c r="H111" s="3">
        <v>200</v>
      </c>
      <c r="I111" s="3">
        <v>198</v>
      </c>
      <c r="J111" s="3">
        <v>4</v>
      </c>
      <c r="K111" s="4">
        <v>1829.76</v>
      </c>
      <c r="L111" t="s">
        <v>28</v>
      </c>
      <c r="M111" s="6" t="str">
        <f>VLOOKUP(PurchaseOrdersTable[[#This Row],[Supplier Code]],SupplierMasterTable[[Supplier Code]:[Supplier Name]],2,)</f>
        <v>Vertex Electricals</v>
      </c>
      <c r="N111" s="6" t="str">
        <f>VLOOKUP(PurchaseOrdersTable[[#This Row],[Product Code]],ProductMasterTable[[Product Code]:[Product Name]],2,)</f>
        <v>Industrial LED High-Bay Light</v>
      </c>
      <c r="O111" s="6" t="str">
        <f>VLOOKUP(PurchaseOrdersTable[[#This Row],[Product Code]],ProductMasterTable[[#All],[Product Code]:[Category]],3,)</f>
        <v>Electricals</v>
      </c>
      <c r="P111" s="7">
        <f>PurchaseOrdersTable[[#This Row],[Qty Ordered]]*PurchaseOrdersTable[[#This Row],[Unit Price (₹)]]</f>
        <v>365952</v>
      </c>
      <c r="Q111" s="8">
        <f>PurchaseOrdersTable[[#This Row],[Delivery Date]]-PurchaseOrdersTable[[#This Row],[Order Date]]</f>
        <v>8</v>
      </c>
      <c r="R111" s="8">
        <f>MAX(0, PurchaseOrdersTable[[#This Row],[Delivery Date]]-PurchaseOrdersTable[[#This Row],[Promised Date]])</f>
        <v>0</v>
      </c>
      <c r="S111" s="9">
        <f>PurchaseOrdersTable[[#This Row],[Rejected Qty]]/PurchaseOrdersTable[[#This Row],[Qty Received]]</f>
        <v>2.0202020202020204E-2</v>
      </c>
      <c r="T111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112" spans="1:20">
      <c r="A112" t="s">
        <v>167</v>
      </c>
      <c r="B112" s="2">
        <v>46181</v>
      </c>
      <c r="C112" s="2">
        <v>46190</v>
      </c>
      <c r="D112" s="2">
        <v>46194</v>
      </c>
      <c r="E112" t="s">
        <v>38</v>
      </c>
      <c r="F112" t="s">
        <v>26</v>
      </c>
      <c r="G112" t="s">
        <v>27</v>
      </c>
      <c r="H112" s="3">
        <v>2450</v>
      </c>
      <c r="I112" s="3">
        <v>2404</v>
      </c>
      <c r="J112" s="3">
        <v>130</v>
      </c>
      <c r="K112" s="4">
        <v>535.45000000000005</v>
      </c>
      <c r="L112" t="s">
        <v>28</v>
      </c>
      <c r="M112" s="6" t="str">
        <f>VLOOKUP(PurchaseOrdersTable[[#This Row],[Supplier Code]],SupplierMasterTable[[Supplier Code]:[Supplier Name]],2,)</f>
        <v>ProServe MRO Solutions</v>
      </c>
      <c r="N112" s="6" t="str">
        <f>VLOOKUP(PurchaseOrdersTable[[#This Row],[Product Code]],ProductMasterTable[[Product Code]:[Product Name]],2,)</f>
        <v>Reflective Safety Jacket</v>
      </c>
      <c r="O112" s="6" t="str">
        <f>VLOOKUP(PurchaseOrdersTable[[#This Row],[Product Code]],ProductMasterTable[[#All],[Product Code]:[Category]],3,)</f>
        <v>Safety and PPE</v>
      </c>
      <c r="P112" s="7">
        <f>PurchaseOrdersTable[[#This Row],[Qty Ordered]]*PurchaseOrdersTable[[#This Row],[Unit Price (₹)]]</f>
        <v>1311852.5</v>
      </c>
      <c r="Q112" s="8">
        <f>PurchaseOrdersTable[[#This Row],[Delivery Date]]-PurchaseOrdersTable[[#This Row],[Order Date]]</f>
        <v>13</v>
      </c>
      <c r="R112" s="8">
        <f>MAX(0, PurchaseOrdersTable[[#This Row],[Delivery Date]]-PurchaseOrdersTable[[#This Row],[Promised Date]])</f>
        <v>4</v>
      </c>
      <c r="S112" s="9">
        <f>PurchaseOrdersTable[[#This Row],[Rejected Qty]]/PurchaseOrdersTable[[#This Row],[Qty Received]]</f>
        <v>5.4076539101497505E-2</v>
      </c>
      <c r="T112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13" spans="1:20">
      <c r="A113" t="s">
        <v>168</v>
      </c>
      <c r="B113" s="2">
        <v>46033</v>
      </c>
      <c r="C113" s="2">
        <v>46040</v>
      </c>
      <c r="D113" s="2">
        <v>46041</v>
      </c>
      <c r="E113" t="s">
        <v>25</v>
      </c>
      <c r="F113" t="s">
        <v>69</v>
      </c>
      <c r="G113" t="s">
        <v>75</v>
      </c>
      <c r="H113" s="3">
        <v>140</v>
      </c>
      <c r="I113" s="3">
        <v>139</v>
      </c>
      <c r="J113" s="3">
        <v>1</v>
      </c>
      <c r="K113" s="4">
        <v>628.30999999999995</v>
      </c>
      <c r="L113" t="s">
        <v>61</v>
      </c>
      <c r="M113" s="6" t="str">
        <f>VLOOKUP(PurchaseOrdersTable[[#This Row],[Supplier Code]],SupplierMasterTable[[Supplier Code]:[Supplier Name]],2,)</f>
        <v>Vertex Electricals</v>
      </c>
      <c r="N113" s="6" t="str">
        <f>VLOOKUP(PurchaseOrdersTable[[#This Row],[Product Code]],ProductMasterTable[[Product Code]:[Product Name]],2,)</f>
        <v>Miniature Circuit Breaker 32A</v>
      </c>
      <c r="O113" s="6" t="str">
        <f>VLOOKUP(PurchaseOrdersTable[[#This Row],[Product Code]],ProductMasterTable[[#All],[Product Code]:[Category]],3,)</f>
        <v>Electricals</v>
      </c>
      <c r="P113" s="7">
        <f>PurchaseOrdersTable[[#This Row],[Qty Ordered]]*PurchaseOrdersTable[[#This Row],[Unit Price (₹)]]</f>
        <v>87963.4</v>
      </c>
      <c r="Q113" s="8">
        <f>PurchaseOrdersTable[[#This Row],[Delivery Date]]-PurchaseOrdersTable[[#This Row],[Order Date]]</f>
        <v>8</v>
      </c>
      <c r="R113" s="8">
        <f>MAX(0, PurchaseOrdersTable[[#This Row],[Delivery Date]]-PurchaseOrdersTable[[#This Row],[Promised Date]])</f>
        <v>1</v>
      </c>
      <c r="S113" s="9">
        <f>PurchaseOrdersTable[[#This Row],[Rejected Qty]]/PurchaseOrdersTable[[#This Row],[Qty Received]]</f>
        <v>7.1942446043165471E-3</v>
      </c>
      <c r="T113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114" spans="1:20">
      <c r="A114" t="s">
        <v>169</v>
      </c>
      <c r="B114" s="2">
        <v>46186</v>
      </c>
      <c r="C114" s="2">
        <v>46191</v>
      </c>
      <c r="D114" s="2">
        <v>46197</v>
      </c>
      <c r="E114" t="s">
        <v>30</v>
      </c>
      <c r="F114" t="s">
        <v>57</v>
      </c>
      <c r="G114" t="s">
        <v>43</v>
      </c>
      <c r="H114" s="3">
        <v>950</v>
      </c>
      <c r="I114" s="3">
        <v>920</v>
      </c>
      <c r="J114" s="3">
        <v>91</v>
      </c>
      <c r="K114" s="4">
        <v>696.47</v>
      </c>
      <c r="L114" t="s">
        <v>28</v>
      </c>
      <c r="M114" s="6" t="str">
        <f>VLOOKUP(PurchaseOrdersTable[[#This Row],[Supplier Code]],SupplierMasterTable[[Supplier Code]:[Supplier Name]],2,)</f>
        <v>Metro Industrial Mart</v>
      </c>
      <c r="N114" s="6" t="str">
        <f>VLOOKUP(PurchaseOrdersTable[[#This Row],[Product Code]],ProductMasterTable[[Product Code]:[Product Name]],2,)</f>
        <v>Nitrile Gloves - Box of 100</v>
      </c>
      <c r="O114" s="6" t="str">
        <f>VLOOKUP(PurchaseOrdersTable[[#This Row],[Product Code]],ProductMasterTable[[#All],[Product Code]:[Category]],3,)</f>
        <v>Safety and PPE</v>
      </c>
      <c r="P114" s="7">
        <f>PurchaseOrdersTable[[#This Row],[Qty Ordered]]*PurchaseOrdersTable[[#This Row],[Unit Price (₹)]]</f>
        <v>661646.5</v>
      </c>
      <c r="Q114" s="8">
        <f>PurchaseOrdersTable[[#This Row],[Delivery Date]]-PurchaseOrdersTable[[#This Row],[Order Date]]</f>
        <v>11</v>
      </c>
      <c r="R114" s="8">
        <f>MAX(0, PurchaseOrdersTable[[#This Row],[Delivery Date]]-PurchaseOrdersTable[[#This Row],[Promised Date]])</f>
        <v>6</v>
      </c>
      <c r="S114" s="9">
        <f>PurchaseOrdersTable[[#This Row],[Rejected Qty]]/PurchaseOrdersTable[[#This Row],[Qty Received]]</f>
        <v>9.8913043478260868E-2</v>
      </c>
      <c r="T114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15" spans="1:20">
      <c r="A115" t="s">
        <v>170</v>
      </c>
      <c r="B115" s="2">
        <v>46176</v>
      </c>
      <c r="C115" s="2">
        <v>46182</v>
      </c>
      <c r="D115" s="2">
        <v>46179</v>
      </c>
      <c r="E115" t="s">
        <v>34</v>
      </c>
      <c r="F115" t="s">
        <v>94</v>
      </c>
      <c r="G115" t="s">
        <v>48</v>
      </c>
      <c r="H115" s="3">
        <v>130</v>
      </c>
      <c r="I115" s="3">
        <v>130</v>
      </c>
      <c r="J115" s="3">
        <v>3</v>
      </c>
      <c r="K115" s="4">
        <v>4982.6099999999997</v>
      </c>
      <c r="L115" t="s">
        <v>28</v>
      </c>
      <c r="M115" s="6" t="str">
        <f>VLOOKUP(PurchaseOrdersTable[[#This Row],[Supplier Code]],SupplierMasterTable[[Supplier Code]:[Supplier Name]],2,)</f>
        <v>Precision Tools India</v>
      </c>
      <c r="N115" s="6" t="str">
        <f>VLOOKUP(PurchaseOrdersTable[[#This Row],[Product Code]],ProductMasterTable[[Product Code]:[Product Name]],2,)</f>
        <v>Industrial Torque Wrench</v>
      </c>
      <c r="O115" s="6" t="str">
        <f>VLOOKUP(PurchaseOrdersTable[[#This Row],[Product Code]],ProductMasterTable[[#All],[Product Code]:[Category]],3,)</f>
        <v>Hand Tools</v>
      </c>
      <c r="P115" s="7">
        <f>PurchaseOrdersTable[[#This Row],[Qty Ordered]]*PurchaseOrdersTable[[#This Row],[Unit Price (₹)]]</f>
        <v>647739.29999999993</v>
      </c>
      <c r="Q115" s="8">
        <f>PurchaseOrdersTable[[#This Row],[Delivery Date]]-PurchaseOrdersTable[[#This Row],[Order Date]]</f>
        <v>3</v>
      </c>
      <c r="R115" s="8">
        <f>MAX(0, PurchaseOrdersTable[[#This Row],[Delivery Date]]-PurchaseOrdersTable[[#This Row],[Promised Date]])</f>
        <v>0</v>
      </c>
      <c r="S115" s="9">
        <f>PurchaseOrdersTable[[#This Row],[Rejected Qty]]/PurchaseOrdersTable[[#This Row],[Qty Received]]</f>
        <v>2.3076923076923078E-2</v>
      </c>
      <c r="T115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116" spans="1:20">
      <c r="A116" t="s">
        <v>171</v>
      </c>
      <c r="B116" s="2">
        <v>46038</v>
      </c>
      <c r="C116" s="2">
        <v>46050</v>
      </c>
      <c r="D116" s="2">
        <v>46057</v>
      </c>
      <c r="E116" t="s">
        <v>38</v>
      </c>
      <c r="F116" t="s">
        <v>45</v>
      </c>
      <c r="G116" t="s">
        <v>64</v>
      </c>
      <c r="H116" s="3">
        <v>320</v>
      </c>
      <c r="I116" s="3">
        <v>314</v>
      </c>
      <c r="J116" s="3">
        <v>20</v>
      </c>
      <c r="K116" s="4">
        <v>1190.96</v>
      </c>
      <c r="L116" t="s">
        <v>28</v>
      </c>
      <c r="M116" s="6" t="str">
        <f>VLOOKUP(PurchaseOrdersTable[[#This Row],[Supplier Code]],SupplierMasterTable[[Supplier Code]:[Supplier Name]],2,)</f>
        <v>Eastern Engineering Traders</v>
      </c>
      <c r="N116" s="6" t="str">
        <f>VLOOKUP(PurchaseOrdersTable[[#This Row],[Product Code]],ProductMasterTable[[Product Code]:[Product Name]],2,)</f>
        <v>Deep-Groove Ball Bearing</v>
      </c>
      <c r="O116" s="6" t="str">
        <f>VLOOKUP(PurchaseOrdersTable[[#This Row],[Product Code]],ProductMasterTable[[#All],[Product Code]:[Category]],3,)</f>
        <v>Bearings and Mechanical</v>
      </c>
      <c r="P116" s="7">
        <f>PurchaseOrdersTable[[#This Row],[Qty Ordered]]*PurchaseOrdersTable[[#This Row],[Unit Price (₹)]]</f>
        <v>381107.20000000001</v>
      </c>
      <c r="Q116" s="8">
        <f>PurchaseOrdersTable[[#This Row],[Delivery Date]]-PurchaseOrdersTable[[#This Row],[Order Date]]</f>
        <v>19</v>
      </c>
      <c r="R116" s="8">
        <f>MAX(0, PurchaseOrdersTable[[#This Row],[Delivery Date]]-PurchaseOrdersTable[[#This Row],[Promised Date]])</f>
        <v>7</v>
      </c>
      <c r="S116" s="9">
        <f>PurchaseOrdersTable[[#This Row],[Rejected Qty]]/PurchaseOrdersTable[[#This Row],[Qty Received]]</f>
        <v>6.3694267515923567E-2</v>
      </c>
      <c r="T116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17" spans="1:20">
      <c r="A117" t="s">
        <v>172</v>
      </c>
      <c r="B117" s="2">
        <v>46045</v>
      </c>
      <c r="C117" s="2">
        <v>46054</v>
      </c>
      <c r="D117" s="2">
        <v>46056</v>
      </c>
      <c r="E117" t="s">
        <v>25</v>
      </c>
      <c r="F117" t="s">
        <v>26</v>
      </c>
      <c r="G117" t="s">
        <v>82</v>
      </c>
      <c r="H117" s="3">
        <v>130</v>
      </c>
      <c r="I117" s="3">
        <v>129</v>
      </c>
      <c r="J117" s="3">
        <v>4</v>
      </c>
      <c r="K117" s="4">
        <v>2987.58</v>
      </c>
      <c r="L117" t="s">
        <v>28</v>
      </c>
      <c r="M117" s="6" t="str">
        <f>VLOOKUP(PurchaseOrdersTable[[#This Row],[Supplier Code]],SupplierMasterTable[[Supplier Code]:[Supplier Name]],2,)</f>
        <v>ProServe MRO Solutions</v>
      </c>
      <c r="N117" s="6" t="str">
        <f>VLOOKUP(PurchaseOrdersTable[[#This Row],[Product Code]],ProductMasterTable[[Product Code]:[Product Name]],2,)</f>
        <v>Industrial Degreaser - 20 L</v>
      </c>
      <c r="O117" s="6" t="str">
        <f>VLOOKUP(PurchaseOrdersTable[[#This Row],[Product Code]],ProductMasterTable[[#All],[Product Code]:[Category]],3,)</f>
        <v>Cleaning and Consumables</v>
      </c>
      <c r="P117" s="7">
        <f>PurchaseOrdersTable[[#This Row],[Qty Ordered]]*PurchaseOrdersTable[[#This Row],[Unit Price (₹)]]</f>
        <v>388385.39999999997</v>
      </c>
      <c r="Q117" s="8">
        <f>PurchaseOrdersTable[[#This Row],[Delivery Date]]-PurchaseOrdersTable[[#This Row],[Order Date]]</f>
        <v>11</v>
      </c>
      <c r="R117" s="8">
        <f>MAX(0, PurchaseOrdersTable[[#This Row],[Delivery Date]]-PurchaseOrdersTable[[#This Row],[Promised Date]])</f>
        <v>2</v>
      </c>
      <c r="S117" s="9">
        <f>PurchaseOrdersTable[[#This Row],[Rejected Qty]]/PurchaseOrdersTable[[#This Row],[Qty Received]]</f>
        <v>3.1007751937984496E-2</v>
      </c>
      <c r="T117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118" spans="1:20">
      <c r="A118" t="s">
        <v>173</v>
      </c>
      <c r="B118" s="2">
        <v>46180</v>
      </c>
      <c r="C118" s="2">
        <v>46188</v>
      </c>
      <c r="D118" s="2">
        <v>46185</v>
      </c>
      <c r="E118" t="s">
        <v>30</v>
      </c>
      <c r="F118" t="s">
        <v>35</v>
      </c>
      <c r="G118" t="s">
        <v>75</v>
      </c>
      <c r="H118" s="3">
        <v>320</v>
      </c>
      <c r="I118" s="3">
        <v>317</v>
      </c>
      <c r="J118" s="3">
        <v>7</v>
      </c>
      <c r="K118" s="4">
        <v>600.63</v>
      </c>
      <c r="L118" t="s">
        <v>28</v>
      </c>
      <c r="M118" s="6" t="str">
        <f>VLOOKUP(PurchaseOrdersTable[[#This Row],[Supplier Code]],SupplierMasterTable[[Supplier Code]:[Supplier Name]],2,)</f>
        <v>Western MRO Hub</v>
      </c>
      <c r="N118" s="6" t="str">
        <f>VLOOKUP(PurchaseOrdersTable[[#This Row],[Product Code]],ProductMasterTable[[Product Code]:[Product Name]],2,)</f>
        <v>Miniature Circuit Breaker 32A</v>
      </c>
      <c r="O118" s="6" t="str">
        <f>VLOOKUP(PurchaseOrdersTable[[#This Row],[Product Code]],ProductMasterTable[[#All],[Product Code]:[Category]],3,)</f>
        <v>Electricals</v>
      </c>
      <c r="P118" s="7">
        <f>PurchaseOrdersTable[[#This Row],[Qty Ordered]]*PurchaseOrdersTable[[#This Row],[Unit Price (₹)]]</f>
        <v>192201.60000000001</v>
      </c>
      <c r="Q118" s="8">
        <f>PurchaseOrdersTable[[#This Row],[Delivery Date]]-PurchaseOrdersTable[[#This Row],[Order Date]]</f>
        <v>5</v>
      </c>
      <c r="R118" s="8">
        <f>MAX(0, PurchaseOrdersTable[[#This Row],[Delivery Date]]-PurchaseOrdersTable[[#This Row],[Promised Date]])</f>
        <v>0</v>
      </c>
      <c r="S118" s="9">
        <f>PurchaseOrdersTable[[#This Row],[Rejected Qty]]/PurchaseOrdersTable[[#This Row],[Qty Received]]</f>
        <v>2.2082018927444796E-2</v>
      </c>
      <c r="T118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119" spans="1:20">
      <c r="A119" t="s">
        <v>174</v>
      </c>
      <c r="B119" s="2">
        <v>46104</v>
      </c>
      <c r="C119" s="2">
        <v>46113</v>
      </c>
      <c r="D119" s="2">
        <v>46112</v>
      </c>
      <c r="E119" t="s">
        <v>34</v>
      </c>
      <c r="F119" t="s">
        <v>72</v>
      </c>
      <c r="G119" t="s">
        <v>58</v>
      </c>
      <c r="H119" s="3">
        <v>2000</v>
      </c>
      <c r="I119" s="3">
        <v>1994</v>
      </c>
      <c r="J119" s="3">
        <v>31</v>
      </c>
      <c r="K119" s="4">
        <v>298.35000000000002</v>
      </c>
      <c r="L119" t="s">
        <v>28</v>
      </c>
      <c r="M119" s="6" t="str">
        <f>VLOOKUP(PurchaseOrdersTable[[#This Row],[Supplier Code]],SupplierMasterTable[[Supplier Code]:[Supplier Name]],2,)</f>
        <v>SecureTech Safety Solutions</v>
      </c>
      <c r="N119" s="6" t="str">
        <f>VLOOKUP(PurchaseOrdersTable[[#This Row],[Product Code]],ProductMasterTable[[Product Code]:[Product Name]],2,)</f>
        <v>Safety Goggles</v>
      </c>
      <c r="O119" s="6" t="str">
        <f>VLOOKUP(PurchaseOrdersTable[[#This Row],[Product Code]],ProductMasterTable[[#All],[Product Code]:[Category]],3,)</f>
        <v>Safety and PPE</v>
      </c>
      <c r="P119" s="7">
        <f>PurchaseOrdersTable[[#This Row],[Qty Ordered]]*PurchaseOrdersTable[[#This Row],[Unit Price (₹)]]</f>
        <v>596700</v>
      </c>
      <c r="Q119" s="8">
        <f>PurchaseOrdersTable[[#This Row],[Delivery Date]]-PurchaseOrdersTable[[#This Row],[Order Date]]</f>
        <v>8</v>
      </c>
      <c r="R119" s="8">
        <f>MAX(0, PurchaseOrdersTable[[#This Row],[Delivery Date]]-PurchaseOrdersTable[[#This Row],[Promised Date]])</f>
        <v>0</v>
      </c>
      <c r="S119" s="9">
        <f>PurchaseOrdersTable[[#This Row],[Rejected Qty]]/PurchaseOrdersTable[[#This Row],[Qty Received]]</f>
        <v>1.5546639919759278E-2</v>
      </c>
      <c r="T119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120" spans="1:20">
      <c r="A120" t="s">
        <v>175</v>
      </c>
      <c r="B120" s="2">
        <v>46057</v>
      </c>
      <c r="C120" s="2">
        <v>46062</v>
      </c>
      <c r="D120" s="2">
        <v>46063</v>
      </c>
      <c r="E120" t="s">
        <v>38</v>
      </c>
      <c r="F120" t="s">
        <v>57</v>
      </c>
      <c r="G120" t="s">
        <v>27</v>
      </c>
      <c r="H120" s="3">
        <v>2450</v>
      </c>
      <c r="I120" s="3">
        <v>2375</v>
      </c>
      <c r="J120" s="3">
        <v>188</v>
      </c>
      <c r="K120" s="4">
        <v>470.48</v>
      </c>
      <c r="L120" t="s">
        <v>28</v>
      </c>
      <c r="M120" s="6" t="str">
        <f>VLOOKUP(PurchaseOrdersTable[[#This Row],[Supplier Code]],SupplierMasterTable[[Supplier Code]:[Supplier Name]],2,)</f>
        <v>Metro Industrial Mart</v>
      </c>
      <c r="N120" s="6" t="str">
        <f>VLOOKUP(PurchaseOrdersTable[[#This Row],[Product Code]],ProductMasterTable[[Product Code]:[Product Name]],2,)</f>
        <v>Reflective Safety Jacket</v>
      </c>
      <c r="O120" s="6" t="str">
        <f>VLOOKUP(PurchaseOrdersTable[[#This Row],[Product Code]],ProductMasterTable[[#All],[Product Code]:[Category]],3,)</f>
        <v>Safety and PPE</v>
      </c>
      <c r="P120" s="7">
        <f>PurchaseOrdersTable[[#This Row],[Qty Ordered]]*PurchaseOrdersTable[[#This Row],[Unit Price (₹)]]</f>
        <v>1152676</v>
      </c>
      <c r="Q120" s="8">
        <f>PurchaseOrdersTable[[#This Row],[Delivery Date]]-PurchaseOrdersTable[[#This Row],[Order Date]]</f>
        <v>6</v>
      </c>
      <c r="R120" s="8">
        <f>MAX(0, PurchaseOrdersTable[[#This Row],[Delivery Date]]-PurchaseOrdersTable[[#This Row],[Promised Date]])</f>
        <v>1</v>
      </c>
      <c r="S120" s="9">
        <f>PurchaseOrdersTable[[#This Row],[Rejected Qty]]/PurchaseOrdersTable[[#This Row],[Qty Received]]</f>
        <v>7.9157894736842108E-2</v>
      </c>
      <c r="T120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121" spans="1:20">
      <c r="A121" t="s">
        <v>176</v>
      </c>
      <c r="B121" s="2">
        <v>46129</v>
      </c>
      <c r="C121" s="2">
        <v>46136</v>
      </c>
      <c r="D121" s="2">
        <v>46136</v>
      </c>
      <c r="E121" t="s">
        <v>25</v>
      </c>
      <c r="F121" t="s">
        <v>42</v>
      </c>
      <c r="G121" t="s">
        <v>27</v>
      </c>
      <c r="H121" s="3">
        <v>1650</v>
      </c>
      <c r="I121" s="3">
        <v>1638</v>
      </c>
      <c r="J121" s="3">
        <v>20</v>
      </c>
      <c r="K121" s="4">
        <v>551.89</v>
      </c>
      <c r="L121" t="s">
        <v>28</v>
      </c>
      <c r="M121" s="6" t="str">
        <f>VLOOKUP(PurchaseOrdersTable[[#This Row],[Supplier Code]],SupplierMasterTable[[Supplier Code]:[Supplier Name]],2,)</f>
        <v>SafePro India</v>
      </c>
      <c r="N121" s="6" t="str">
        <f>VLOOKUP(PurchaseOrdersTable[[#This Row],[Product Code]],ProductMasterTable[[Product Code]:[Product Name]],2,)</f>
        <v>Reflective Safety Jacket</v>
      </c>
      <c r="O121" s="6" t="str">
        <f>VLOOKUP(PurchaseOrdersTable[[#This Row],[Product Code]],ProductMasterTable[[#All],[Product Code]:[Category]],3,)</f>
        <v>Safety and PPE</v>
      </c>
      <c r="P121" s="7">
        <f>PurchaseOrdersTable[[#This Row],[Qty Ordered]]*PurchaseOrdersTable[[#This Row],[Unit Price (₹)]]</f>
        <v>910618.5</v>
      </c>
      <c r="Q121" s="8">
        <f>PurchaseOrdersTable[[#This Row],[Delivery Date]]-PurchaseOrdersTable[[#This Row],[Order Date]]</f>
        <v>7</v>
      </c>
      <c r="R121" s="8">
        <f>MAX(0, PurchaseOrdersTable[[#This Row],[Delivery Date]]-PurchaseOrdersTable[[#This Row],[Promised Date]])</f>
        <v>0</v>
      </c>
      <c r="S121" s="9">
        <f>PurchaseOrdersTable[[#This Row],[Rejected Qty]]/PurchaseOrdersTable[[#This Row],[Qty Received]]</f>
        <v>1.221001221001221E-2</v>
      </c>
      <c r="T121" s="6" t="str">
        <f>IF(PurchaseOrdersTable[[#This Row],[Delay Days]]&lt;=0,"On time", IF(PurchaseOrdersTable[[#This Row],[Delay Days]]&lt;=3,"Slightly delay", IF(PurchaseOrdersTable[[#This Row],[Delay Days]]&gt;3,"Seriously late")))</f>
        <v>On time</v>
      </c>
    </row>
    <row r="122" spans="1:20">
      <c r="A122" t="s">
        <v>177</v>
      </c>
      <c r="B122" s="2">
        <v>46107</v>
      </c>
      <c r="C122" s="2">
        <v>46111</v>
      </c>
      <c r="D122" s="2">
        <v>46114</v>
      </c>
      <c r="E122" t="s">
        <v>30</v>
      </c>
      <c r="F122" t="s">
        <v>94</v>
      </c>
      <c r="G122" t="s">
        <v>50</v>
      </c>
      <c r="H122" s="3">
        <v>60</v>
      </c>
      <c r="I122" s="3">
        <v>60</v>
      </c>
      <c r="J122" s="3">
        <v>0</v>
      </c>
      <c r="K122" s="4">
        <v>4021.9</v>
      </c>
      <c r="L122" t="s">
        <v>61</v>
      </c>
      <c r="M122" s="6" t="str">
        <f>VLOOKUP(PurchaseOrdersTable[[#This Row],[Supplier Code]],SupplierMasterTable[[Supplier Code]:[Supplier Name]],2,)</f>
        <v>Precision Tools India</v>
      </c>
      <c r="N122" s="6" t="str">
        <f>VLOOKUP(PurchaseOrdersTable[[#This Row],[Product Code]],ProductMasterTable[[Product Code]:[Product Name]],2,)</f>
        <v>Industrial Angle Grinder</v>
      </c>
      <c r="O122" s="6" t="str">
        <f>VLOOKUP(PurchaseOrdersTable[[#This Row],[Product Code]],ProductMasterTable[[#All],[Product Code]:[Category]],3,)</f>
        <v>Hand Tools</v>
      </c>
      <c r="P122" s="7">
        <f>PurchaseOrdersTable[[#This Row],[Qty Ordered]]*PurchaseOrdersTable[[#This Row],[Unit Price (₹)]]</f>
        <v>241314</v>
      </c>
      <c r="Q122" s="8">
        <f>PurchaseOrdersTable[[#This Row],[Delivery Date]]-PurchaseOrdersTable[[#This Row],[Order Date]]</f>
        <v>7</v>
      </c>
      <c r="R122" s="8">
        <f>MAX(0, PurchaseOrdersTable[[#This Row],[Delivery Date]]-PurchaseOrdersTable[[#This Row],[Promised Date]])</f>
        <v>3</v>
      </c>
      <c r="S122" s="9">
        <f>PurchaseOrdersTable[[#This Row],[Rejected Qty]]/PurchaseOrdersTable[[#This Row],[Qty Received]]</f>
        <v>0</v>
      </c>
      <c r="T122" s="6" t="str">
        <f>IF(PurchaseOrdersTable[[#This Row],[Delay Days]]&lt;=0,"On time", IF(PurchaseOrdersTable[[#This Row],[Delay Days]]&lt;=3,"Slightly delay", IF(PurchaseOrdersTable[[#This Row],[Delay Days]]&gt;3,"Seriously late")))</f>
        <v>Slightly delay</v>
      </c>
    </row>
    <row r="123" spans="1:20">
      <c r="A123" t="s">
        <v>178</v>
      </c>
      <c r="B123" s="2">
        <v>46091</v>
      </c>
      <c r="C123" s="2">
        <v>46100</v>
      </c>
      <c r="D123" s="2">
        <v>46104</v>
      </c>
      <c r="E123" t="s">
        <v>34</v>
      </c>
      <c r="F123" t="s">
        <v>26</v>
      </c>
      <c r="G123" t="s">
        <v>27</v>
      </c>
      <c r="H123" s="3">
        <v>1100</v>
      </c>
      <c r="I123" s="3">
        <v>1093</v>
      </c>
      <c r="J123" s="3">
        <v>20</v>
      </c>
      <c r="K123" s="4">
        <v>536.89</v>
      </c>
      <c r="L123" t="s">
        <v>28</v>
      </c>
      <c r="M123" s="6" t="str">
        <f>VLOOKUP(PurchaseOrdersTable[[#This Row],[Supplier Code]],SupplierMasterTable[[Supplier Code]:[Supplier Name]],2,)</f>
        <v>ProServe MRO Solutions</v>
      </c>
      <c r="N123" s="6" t="str">
        <f>VLOOKUP(PurchaseOrdersTable[[#This Row],[Product Code]],ProductMasterTable[[Product Code]:[Product Name]],2,)</f>
        <v>Reflective Safety Jacket</v>
      </c>
      <c r="O123" s="6" t="str">
        <f>VLOOKUP(PurchaseOrdersTable[[#This Row],[Product Code]],ProductMasterTable[[#All],[Product Code]:[Category]],3,)</f>
        <v>Safety and PPE</v>
      </c>
      <c r="P123" s="7">
        <f>PurchaseOrdersTable[[#This Row],[Qty Ordered]]*PurchaseOrdersTable[[#This Row],[Unit Price (₹)]]</f>
        <v>590579</v>
      </c>
      <c r="Q123" s="8">
        <f>PurchaseOrdersTable[[#This Row],[Delivery Date]]-PurchaseOrdersTable[[#This Row],[Order Date]]</f>
        <v>13</v>
      </c>
      <c r="R123" s="8">
        <f>MAX(0, PurchaseOrdersTable[[#This Row],[Delivery Date]]-PurchaseOrdersTable[[#This Row],[Promised Date]])</f>
        <v>4</v>
      </c>
      <c r="S123" s="9">
        <f>PurchaseOrdersTable[[#This Row],[Rejected Qty]]/PurchaseOrdersTable[[#This Row],[Qty Received]]</f>
        <v>1.8298261665141813E-2</v>
      </c>
      <c r="T123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  <row r="124" spans="1:20">
      <c r="A124" t="s">
        <v>179</v>
      </c>
      <c r="B124" s="2">
        <v>46075</v>
      </c>
      <c r="C124" s="2">
        <v>46087</v>
      </c>
      <c r="D124" s="2">
        <v>46095</v>
      </c>
      <c r="E124" t="s">
        <v>38</v>
      </c>
      <c r="F124" t="s">
        <v>45</v>
      </c>
      <c r="G124" t="s">
        <v>55</v>
      </c>
      <c r="H124" s="3">
        <v>420</v>
      </c>
      <c r="I124" s="3">
        <v>410</v>
      </c>
      <c r="J124" s="3">
        <v>16</v>
      </c>
      <c r="K124" s="4">
        <v>2785.58</v>
      </c>
      <c r="L124" t="s">
        <v>28</v>
      </c>
      <c r="M124" s="6" t="str">
        <f>VLOOKUP(PurchaseOrdersTable[[#This Row],[Supplier Code]],SupplierMasterTable[[Supplier Code]:[Supplier Name]],2,)</f>
        <v>Eastern Engineering Traders</v>
      </c>
      <c r="N124" s="6" t="str">
        <f>VLOOKUP(PurchaseOrdersTable[[#This Row],[Product Code]],ProductMasterTable[[Product Code]:[Product Name]],2,)</f>
        <v>Industrial Roller Bearing</v>
      </c>
      <c r="O124" s="6" t="str">
        <f>VLOOKUP(PurchaseOrdersTable[[#This Row],[Product Code]],ProductMasterTable[[#All],[Product Code]:[Category]],3,)</f>
        <v>Bearings and Mechanical</v>
      </c>
      <c r="P124" s="7">
        <f>PurchaseOrdersTable[[#This Row],[Qty Ordered]]*PurchaseOrdersTable[[#This Row],[Unit Price (₹)]]</f>
        <v>1169943.5999999999</v>
      </c>
      <c r="Q124" s="8">
        <f>PurchaseOrdersTable[[#This Row],[Delivery Date]]-PurchaseOrdersTable[[#This Row],[Order Date]]</f>
        <v>20</v>
      </c>
      <c r="R124" s="8">
        <f>MAX(0, PurchaseOrdersTable[[#This Row],[Delivery Date]]-PurchaseOrdersTable[[#This Row],[Promised Date]])</f>
        <v>8</v>
      </c>
      <c r="S124" s="9">
        <f>PurchaseOrdersTable[[#This Row],[Rejected Qty]]/PurchaseOrdersTable[[#This Row],[Qty Received]]</f>
        <v>3.9024390243902439E-2</v>
      </c>
      <c r="T124" s="6" t="str">
        <f>IF(PurchaseOrdersTable[[#This Row],[Delay Days]]&lt;=0,"On time", IF(PurchaseOrdersTable[[#This Row],[Delay Days]]&lt;=3,"Slightly delay", IF(PurchaseOrdersTable[[#This Row],[Delay Days]]&gt;3,"Seriously late")))</f>
        <v>Seriously late</v>
      </c>
    </row>
  </sheetData>
  <mergeCells count="4">
    <mergeCell ref="A1:T1"/>
    <mergeCell ref="A2:T2"/>
    <mergeCell ref="V1:AB2"/>
    <mergeCell ref="V3:AB2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0"/>
  <sheetViews>
    <sheetView workbookViewId="0">
      <selection activeCell="M5" sqref="M5"/>
    </sheetView>
  </sheetViews>
  <sheetFormatPr defaultRowHeight="14"/>
  <cols>
    <col min="1" max="1" width="12" customWidth="1"/>
    <col min="2" max="2" width="29" customWidth="1"/>
    <col min="3" max="3" width="16" customWidth="1"/>
    <col min="4" max="4" width="18" customWidth="1"/>
    <col min="5" max="5" width="16" customWidth="1"/>
    <col min="6" max="6" width="23" customWidth="1"/>
    <col min="7" max="7" width="14" customWidth="1"/>
    <col min="8" max="8" width="30" customWidth="1"/>
    <col min="10" max="10" width="12" customWidth="1"/>
    <col min="11" max="11" width="28" customWidth="1"/>
    <col min="12" max="14" width="17" customWidth="1"/>
    <col min="15" max="15" width="13" customWidth="1"/>
    <col min="16" max="16" width="18" customWidth="1"/>
    <col min="17" max="17" width="20" customWidth="1"/>
  </cols>
  <sheetData>
    <row r="1" spans="1:25" ht="18.649999999999999" customHeight="1">
      <c r="A1" s="48" t="s">
        <v>180</v>
      </c>
      <c r="B1" s="48"/>
      <c r="C1" s="48"/>
      <c r="D1" s="48"/>
      <c r="E1" s="48"/>
      <c r="F1" s="48"/>
      <c r="G1" s="48"/>
      <c r="H1" s="48"/>
      <c r="J1" s="48" t="s">
        <v>181</v>
      </c>
      <c r="K1" s="48"/>
      <c r="L1" s="48"/>
      <c r="M1" s="48"/>
      <c r="N1" s="48"/>
      <c r="O1" s="48"/>
      <c r="P1" s="48"/>
      <c r="S1" s="45" t="s">
        <v>182</v>
      </c>
      <c r="T1" s="45"/>
      <c r="U1" s="45"/>
      <c r="V1" s="45"/>
      <c r="W1" s="45"/>
      <c r="X1" s="45"/>
      <c r="Y1" s="45"/>
    </row>
    <row r="2" spans="1:25" ht="16" customHeight="1">
      <c r="A2" s="49" t="s">
        <v>183</v>
      </c>
      <c r="B2" s="49"/>
      <c r="C2" s="49"/>
      <c r="D2" s="49"/>
      <c r="E2" s="49"/>
      <c r="F2" s="49"/>
      <c r="G2" s="49"/>
      <c r="H2" s="49"/>
      <c r="S2" s="45"/>
      <c r="T2" s="45"/>
      <c r="U2" s="45"/>
      <c r="V2" s="45"/>
      <c r="W2" s="45"/>
      <c r="X2" s="45"/>
      <c r="Y2" s="45"/>
    </row>
    <row r="3" spans="1:25" ht="12" customHeight="1">
      <c r="S3" s="46" t="s">
        <v>184</v>
      </c>
      <c r="T3" s="46"/>
      <c r="U3" s="46"/>
      <c r="V3" s="46"/>
      <c r="W3" s="46"/>
      <c r="X3" s="46"/>
      <c r="Y3" s="46"/>
    </row>
    <row r="4" spans="1:25" ht="21.4" customHeight="1">
      <c r="A4" s="1" t="s">
        <v>9</v>
      </c>
      <c r="B4" s="1" t="s">
        <v>16</v>
      </c>
      <c r="C4" s="1" t="s">
        <v>185</v>
      </c>
      <c r="D4" s="1" t="s">
        <v>186</v>
      </c>
      <c r="E4" s="1" t="s">
        <v>187</v>
      </c>
      <c r="F4" s="1" t="s">
        <v>188</v>
      </c>
      <c r="G4" s="1" t="s">
        <v>189</v>
      </c>
      <c r="H4" s="1" t="s">
        <v>190</v>
      </c>
      <c r="J4" s="1" t="s">
        <v>9</v>
      </c>
      <c r="K4" s="1" t="s">
        <v>16</v>
      </c>
      <c r="L4" s="1" t="s">
        <v>191</v>
      </c>
      <c r="M4" s="1" t="s">
        <v>192</v>
      </c>
      <c r="N4" s="1" t="s">
        <v>193</v>
      </c>
      <c r="O4" s="1" t="s">
        <v>194</v>
      </c>
      <c r="P4" s="1" t="s">
        <v>195</v>
      </c>
      <c r="Q4" s="1" t="s">
        <v>196</v>
      </c>
      <c r="S4" s="46"/>
      <c r="T4" s="46"/>
      <c r="U4" s="46"/>
      <c r="V4" s="46"/>
      <c r="W4" s="46"/>
      <c r="X4" s="46"/>
      <c r="Y4" s="46"/>
    </row>
    <row r="5" spans="1:25" ht="12" customHeight="1">
      <c r="A5" t="s">
        <v>39</v>
      </c>
      <c r="B5" t="s">
        <v>197</v>
      </c>
      <c r="C5" t="s">
        <v>198</v>
      </c>
      <c r="D5" s="11">
        <v>10</v>
      </c>
      <c r="E5" t="s">
        <v>199</v>
      </c>
      <c r="F5" t="s">
        <v>200</v>
      </c>
      <c r="G5" s="12">
        <v>4.0999999999999996</v>
      </c>
      <c r="H5" t="s">
        <v>201</v>
      </c>
      <c r="J5" t="s">
        <v>39</v>
      </c>
      <c r="K5" t="s">
        <v>197</v>
      </c>
      <c r="L5" s="7">
        <f>SUMIF(PurchaseOrdersTable[[#All],[Supplier Code]],SupplierPerformanceWorkspace[[#This Row],[Supplier Code]],PurchaseOrdersTable[[#All],[Order Value (₹)]])</f>
        <v>12670798.800000001</v>
      </c>
      <c r="M5" s="7">
        <f>AVERAGEIF(PurchaseOrdersTable[[#All],[Supplier Code]],SupplierPerformanceWorkspace[[#This Row],[Supplier Code]],PurchaseOrdersTable[[#All],[Unit Price (₹)]])</f>
        <v>1168.1366666666668</v>
      </c>
      <c r="N5" s="13">
        <f>AVERAGEIF(PurchaseOrdersTable[[#All],[Supplier Code]],SupplierPerformanceWorkspace[[#This Row],[Supplier Code]],PurchaseOrdersTable[[#All],[Delay Days]])</f>
        <v>3.3333333333333335</v>
      </c>
      <c r="O5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8.3333333333333329E-2</v>
      </c>
      <c r="P5" s="9">
        <f>AVERAGEIF(PurchaseOrdersTable[[#All],[Supplier Code]],SupplierPerformanceWorkspace[[#This Row],[Supplier Code]],PurchaseOrdersTable[[#All],[Defect Rate]])</f>
        <v>2.8282953177705572E-2</v>
      </c>
      <c r="Q5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5" s="46"/>
      <c r="T5" s="46"/>
      <c r="U5" s="46"/>
      <c r="V5" s="46"/>
      <c r="W5" s="46"/>
      <c r="X5" s="46"/>
      <c r="Y5" s="46"/>
    </row>
    <row r="6" spans="1:25" ht="12" customHeight="1">
      <c r="A6" t="s">
        <v>35</v>
      </c>
      <c r="B6" t="s">
        <v>202</v>
      </c>
      <c r="C6" t="s">
        <v>203</v>
      </c>
      <c r="D6" s="11">
        <v>8</v>
      </c>
      <c r="E6" t="s">
        <v>199</v>
      </c>
      <c r="F6" t="s">
        <v>200</v>
      </c>
      <c r="G6" s="12">
        <v>4.3</v>
      </c>
      <c r="H6" t="s">
        <v>204</v>
      </c>
      <c r="J6" t="s">
        <v>35</v>
      </c>
      <c r="K6" t="s">
        <v>202</v>
      </c>
      <c r="L6" s="7">
        <f>SUMIF(PurchaseOrdersTable[[#All],[Supplier Code]],SupplierPerformanceWorkspace[[#This Row],[Supplier Code]],PurchaseOrdersTable[[#All],[Order Value (₹)]])</f>
        <v>8395919.5999999996</v>
      </c>
      <c r="M6" s="7">
        <f>AVERAGEIF(PurchaseOrdersTable[[#All],[Supplier Code]],SupplierPerformanceWorkspace[[#This Row],[Supplier Code]],PurchaseOrdersTable[[#All],[Unit Price (₹)]])</f>
        <v>4347.4674999999997</v>
      </c>
      <c r="N6" s="13">
        <f>AVERAGEIF(PurchaseOrdersTable[[#All],[Supplier Code]],SupplierPerformanceWorkspace[[#This Row],[Supplier Code]],PurchaseOrdersTable[[#All],[Delay Days]])</f>
        <v>1</v>
      </c>
      <c r="O6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0.5</v>
      </c>
      <c r="P6" s="9">
        <f>AVERAGEIF(PurchaseOrdersTable[[#All],[Supplier Code]],SupplierPerformanceWorkspace[[#This Row],[Supplier Code]],PurchaseOrdersTable[[#All],[Defect Rate]])</f>
        <v>1.3274109978420438E-2</v>
      </c>
      <c r="Q6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6" s="46"/>
      <c r="T6" s="46"/>
      <c r="U6" s="46"/>
      <c r="V6" s="46"/>
      <c r="W6" s="46"/>
      <c r="X6" s="46"/>
      <c r="Y6" s="46"/>
    </row>
    <row r="7" spans="1:25" ht="12" customHeight="1">
      <c r="A7" t="s">
        <v>42</v>
      </c>
      <c r="B7" t="s">
        <v>205</v>
      </c>
      <c r="C7" t="s">
        <v>206</v>
      </c>
      <c r="D7" s="11">
        <v>7</v>
      </c>
      <c r="E7" t="s">
        <v>199</v>
      </c>
      <c r="F7" t="s">
        <v>207</v>
      </c>
      <c r="G7" s="12">
        <v>4.5</v>
      </c>
      <c r="H7" t="s">
        <v>208</v>
      </c>
      <c r="J7" t="s">
        <v>42</v>
      </c>
      <c r="K7" t="s">
        <v>205</v>
      </c>
      <c r="L7" s="7">
        <f>SUMIF(PurchaseOrdersTable[[#All],[Supplier Code]],SupplierPerformanceWorkspace[[#This Row],[Supplier Code]],PurchaseOrdersTable[[#All],[Order Value (₹)]])</f>
        <v>6086705.5</v>
      </c>
      <c r="M7" s="7">
        <f>AVERAGEIF(PurchaseOrdersTable[[#All],[Supplier Code]],SupplierPerformanceWorkspace[[#This Row],[Supplier Code]],PurchaseOrdersTable[[#All],[Unit Price (₹)]])</f>
        <v>544.09428571428566</v>
      </c>
      <c r="N7" s="13">
        <f>AVERAGEIF(PurchaseOrdersTable[[#All],[Supplier Code]],SupplierPerformanceWorkspace[[#This Row],[Supplier Code]],PurchaseOrdersTable[[#All],[Delay Days]])</f>
        <v>0.5714285714285714</v>
      </c>
      <c r="O7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0.5714285714285714</v>
      </c>
      <c r="P7" s="9">
        <f>AVERAGEIF(PurchaseOrdersTable[[#All],[Supplier Code]],SupplierPerformanceWorkspace[[#This Row],[Supplier Code]],PurchaseOrdersTable[[#All],[Defect Rate]])</f>
        <v>6.4911163772092958E-3</v>
      </c>
      <c r="Q7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7" s="46"/>
      <c r="T7" s="46"/>
      <c r="U7" s="46"/>
      <c r="V7" s="46"/>
      <c r="W7" s="46"/>
      <c r="X7" s="46"/>
      <c r="Y7" s="46"/>
    </row>
    <row r="8" spans="1:25" ht="12" customHeight="1">
      <c r="A8" t="s">
        <v>45</v>
      </c>
      <c r="B8" t="s">
        <v>209</v>
      </c>
      <c r="C8" t="s">
        <v>210</v>
      </c>
      <c r="D8" s="11">
        <v>12</v>
      </c>
      <c r="E8" t="s">
        <v>211</v>
      </c>
      <c r="F8" t="s">
        <v>200</v>
      </c>
      <c r="G8" s="12">
        <v>3.4</v>
      </c>
      <c r="H8" t="s">
        <v>212</v>
      </c>
      <c r="J8" t="s">
        <v>45</v>
      </c>
      <c r="K8" t="s">
        <v>209</v>
      </c>
      <c r="L8" s="7">
        <f>SUMIF(PurchaseOrdersTable[[#All],[Supplier Code]],SupplierPerformanceWorkspace[[#This Row],[Supplier Code]],PurchaseOrdersTable[[#All],[Order Value (₹)]])</f>
        <v>9263652.2000000011</v>
      </c>
      <c r="M8" s="7">
        <f>AVERAGEIF(PurchaseOrdersTable[[#All],[Supplier Code]],SupplierPerformanceWorkspace[[#This Row],[Supplier Code]],PurchaseOrdersTable[[#All],[Unit Price (₹)]])</f>
        <v>1978.8654545454542</v>
      </c>
      <c r="N8" s="13">
        <f>AVERAGEIF(PurchaseOrdersTable[[#All],[Supplier Code]],SupplierPerformanceWorkspace[[#This Row],[Supplier Code]],PurchaseOrdersTable[[#All],[Delay Days]])</f>
        <v>5.9090909090909092</v>
      </c>
      <c r="O8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</v>
      </c>
      <c r="P8" s="9">
        <f>AVERAGEIF(PurchaseOrdersTable[[#All],[Supplier Code]],SupplierPerformanceWorkspace[[#This Row],[Supplier Code]],PurchaseOrdersTable[[#All],[Defect Rate]])</f>
        <v>5.169694422684179E-2</v>
      </c>
      <c r="Q8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8" s="46"/>
      <c r="T8" s="46"/>
      <c r="U8" s="46"/>
      <c r="V8" s="46"/>
      <c r="W8" s="46"/>
      <c r="X8" s="46"/>
      <c r="Y8" s="46"/>
    </row>
    <row r="9" spans="1:25" ht="12" customHeight="1">
      <c r="A9" t="s">
        <v>69</v>
      </c>
      <c r="B9" t="s">
        <v>213</v>
      </c>
      <c r="C9" t="s">
        <v>214</v>
      </c>
      <c r="D9" s="11">
        <v>9</v>
      </c>
      <c r="E9" t="s">
        <v>199</v>
      </c>
      <c r="F9" t="s">
        <v>215</v>
      </c>
      <c r="G9" s="12">
        <v>4.2</v>
      </c>
      <c r="H9" t="s">
        <v>216</v>
      </c>
      <c r="J9" t="s">
        <v>69</v>
      </c>
      <c r="K9" t="s">
        <v>213</v>
      </c>
      <c r="L9" s="7">
        <f>SUMIF(PurchaseOrdersTable[[#All],[Supplier Code]],SupplierPerformanceWorkspace[[#This Row],[Supplier Code]],PurchaseOrdersTable[[#All],[Order Value (₹)]])</f>
        <v>3207875.4</v>
      </c>
      <c r="M9" s="7">
        <f>AVERAGEIF(PurchaseOrdersTable[[#All],[Supplier Code]],SupplierPerformanceWorkspace[[#This Row],[Supplier Code]],PurchaseOrdersTable[[#All],[Unit Price (₹)]])</f>
        <v>1803.6739999999998</v>
      </c>
      <c r="N9" s="13">
        <f>AVERAGEIF(PurchaseOrdersTable[[#All],[Supplier Code]],SupplierPerformanceWorkspace[[#This Row],[Supplier Code]],PurchaseOrdersTable[[#All],[Delay Days]])</f>
        <v>1</v>
      </c>
      <c r="O9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0.4</v>
      </c>
      <c r="P9" s="9">
        <f>AVERAGEIF(PurchaseOrdersTable[[#All],[Supplier Code]],SupplierPerformanceWorkspace[[#This Row],[Supplier Code]],PurchaseOrdersTable[[#All],[Defect Rate]])</f>
        <v>1.0892052475977692E-2</v>
      </c>
      <c r="Q9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9" s="46"/>
      <c r="T9" s="46"/>
      <c r="U9" s="46"/>
      <c r="V9" s="46"/>
      <c r="W9" s="46"/>
      <c r="X9" s="46"/>
      <c r="Y9" s="46"/>
    </row>
    <row r="10" spans="1:25" ht="12" customHeight="1">
      <c r="A10" t="s">
        <v>94</v>
      </c>
      <c r="B10" t="s">
        <v>217</v>
      </c>
      <c r="C10" t="s">
        <v>218</v>
      </c>
      <c r="D10" s="11">
        <v>6</v>
      </c>
      <c r="E10" t="s">
        <v>199</v>
      </c>
      <c r="F10" t="s">
        <v>200</v>
      </c>
      <c r="G10" s="12">
        <v>4.5999999999999996</v>
      </c>
      <c r="H10" t="s">
        <v>219</v>
      </c>
      <c r="J10" t="s">
        <v>94</v>
      </c>
      <c r="K10" t="s">
        <v>217</v>
      </c>
      <c r="L10" s="7">
        <f>SUMIF(PurchaseOrdersTable[[#All],[Supplier Code]],SupplierPerformanceWorkspace[[#This Row],[Supplier Code]],PurchaseOrdersTable[[#All],[Order Value (₹)]])</f>
        <v>1295676.0999999999</v>
      </c>
      <c r="M10" s="7">
        <f>AVERAGEIF(PurchaseOrdersTable[[#All],[Supplier Code]],SupplierPerformanceWorkspace[[#This Row],[Supplier Code]],PurchaseOrdersTable[[#All],[Unit Price (₹)]])</f>
        <v>4792.5200000000004</v>
      </c>
      <c r="N10" s="13">
        <f>AVERAGEIF(PurchaseOrdersTable[[#All],[Supplier Code]],SupplierPerformanceWorkspace[[#This Row],[Supplier Code]],PurchaseOrdersTable[[#All],[Delay Days]])</f>
        <v>1.5</v>
      </c>
      <c r="O10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0.25</v>
      </c>
      <c r="P10" s="9">
        <f>AVERAGEIF(PurchaseOrdersTable[[#All],[Supplier Code]],SupplierPerformanceWorkspace[[#This Row],[Supplier Code]],PurchaseOrdersTable[[#All],[Defect Rate]])</f>
        <v>1.201923076923077E-2</v>
      </c>
      <c r="Q10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10" s="46"/>
      <c r="T10" s="46"/>
      <c r="U10" s="46"/>
      <c r="V10" s="46"/>
      <c r="W10" s="46"/>
      <c r="X10" s="46"/>
      <c r="Y10" s="46"/>
    </row>
    <row r="11" spans="1:25" ht="12" customHeight="1">
      <c r="A11" t="s">
        <v>31</v>
      </c>
      <c r="B11" t="s">
        <v>220</v>
      </c>
      <c r="C11" t="s">
        <v>221</v>
      </c>
      <c r="D11" s="11">
        <v>11</v>
      </c>
      <c r="E11" t="s">
        <v>199</v>
      </c>
      <c r="F11" t="s">
        <v>200</v>
      </c>
      <c r="G11" s="12">
        <v>4</v>
      </c>
      <c r="H11" t="s">
        <v>222</v>
      </c>
      <c r="J11" t="s">
        <v>31</v>
      </c>
      <c r="K11" t="s">
        <v>220</v>
      </c>
      <c r="L11" s="7">
        <f>SUMIF(PurchaseOrdersTable[[#All],[Supplier Code]],SupplierPerformanceWorkspace[[#This Row],[Supplier Code]],PurchaseOrdersTable[[#All],[Order Value (₹)]])</f>
        <v>5472501.4000000004</v>
      </c>
      <c r="M11" s="7">
        <f>AVERAGEIF(PurchaseOrdersTable[[#All],[Supplier Code]],SupplierPerformanceWorkspace[[#This Row],[Supplier Code]],PurchaseOrdersTable[[#All],[Unit Price (₹)]])</f>
        <v>1836.517142857143</v>
      </c>
      <c r="N11" s="13">
        <f>AVERAGEIF(PurchaseOrdersTable[[#All],[Supplier Code]],SupplierPerformanceWorkspace[[#This Row],[Supplier Code]],PurchaseOrdersTable[[#All],[Delay Days]])</f>
        <v>2.4285714285714284</v>
      </c>
      <c r="O11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0.2857142857142857</v>
      </c>
      <c r="P11" s="9">
        <f>AVERAGEIF(PurchaseOrdersTable[[#All],[Supplier Code]],SupplierPerformanceWorkspace[[#This Row],[Supplier Code]],PurchaseOrdersTable[[#All],[Defect Rate]])</f>
        <v>1.7776547334111988E-2</v>
      </c>
      <c r="Q11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11" s="46"/>
      <c r="T11" s="46"/>
      <c r="U11" s="46"/>
      <c r="V11" s="46"/>
      <c r="W11" s="46"/>
      <c r="X11" s="46"/>
      <c r="Y11" s="46"/>
    </row>
    <row r="12" spans="1:25" ht="12" customHeight="1">
      <c r="A12" t="s">
        <v>57</v>
      </c>
      <c r="B12" t="s">
        <v>223</v>
      </c>
      <c r="C12" t="s">
        <v>224</v>
      </c>
      <c r="D12" s="11">
        <v>5</v>
      </c>
      <c r="E12" t="s">
        <v>211</v>
      </c>
      <c r="F12" t="s">
        <v>225</v>
      </c>
      <c r="G12" s="12">
        <v>3.2</v>
      </c>
      <c r="H12" t="s">
        <v>226</v>
      </c>
      <c r="J12" t="s">
        <v>57</v>
      </c>
      <c r="K12" t="s">
        <v>223</v>
      </c>
      <c r="L12" s="7">
        <f>SUMIF(PurchaseOrdersTable[[#All],[Supplier Code]],SupplierPerformanceWorkspace[[#This Row],[Supplier Code]],PurchaseOrdersTable[[#All],[Order Value (₹)]])</f>
        <v>9730568.8000000007</v>
      </c>
      <c r="M12" s="7">
        <f>AVERAGEIF(PurchaseOrdersTable[[#All],[Supplier Code]],SupplierPerformanceWorkspace[[#This Row],[Supplier Code]],PurchaseOrdersTable[[#All],[Unit Price (₹)]])</f>
        <v>1112.0385714285715</v>
      </c>
      <c r="N12" s="13">
        <f>AVERAGEIF(PurchaseOrdersTable[[#All],[Supplier Code]],SupplierPerformanceWorkspace[[#This Row],[Supplier Code]],PurchaseOrdersTable[[#All],[Delay Days]])</f>
        <v>4.9285714285714288</v>
      </c>
      <c r="O12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</v>
      </c>
      <c r="P12" s="9">
        <f>AVERAGEIF(PurchaseOrdersTable[[#All],[Supplier Code]],SupplierPerformanceWorkspace[[#This Row],[Supplier Code]],PurchaseOrdersTable[[#All],[Defect Rate]])</f>
        <v>6.9588414053392847E-2</v>
      </c>
      <c r="Q12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12" s="46"/>
      <c r="T12" s="46"/>
      <c r="U12" s="46"/>
      <c r="V12" s="46"/>
      <c r="W12" s="46"/>
      <c r="X12" s="46"/>
      <c r="Y12" s="46"/>
    </row>
    <row r="13" spans="1:25" ht="12" customHeight="1">
      <c r="A13" t="s">
        <v>72</v>
      </c>
      <c r="B13" t="s">
        <v>227</v>
      </c>
      <c r="C13" t="s">
        <v>228</v>
      </c>
      <c r="D13" s="11">
        <v>9</v>
      </c>
      <c r="E13" t="s">
        <v>199</v>
      </c>
      <c r="F13" t="s">
        <v>207</v>
      </c>
      <c r="G13" s="12">
        <v>4.3</v>
      </c>
      <c r="H13" t="s">
        <v>208</v>
      </c>
      <c r="J13" t="s">
        <v>72</v>
      </c>
      <c r="K13" t="s">
        <v>227</v>
      </c>
      <c r="L13" s="7">
        <f>SUMIF(PurchaseOrdersTable[[#All],[Supplier Code]],SupplierPerformanceWorkspace[[#This Row],[Supplier Code]],PurchaseOrdersTable[[#All],[Order Value (₹)]])</f>
        <v>2623357.5</v>
      </c>
      <c r="M13" s="7">
        <f>AVERAGEIF(PurchaseOrdersTable[[#All],[Supplier Code]],SupplierPerformanceWorkspace[[#This Row],[Supplier Code]],PurchaseOrdersTable[[#All],[Unit Price (₹)]])</f>
        <v>399.49749999999995</v>
      </c>
      <c r="N13" s="13">
        <f>AVERAGEIF(PurchaseOrdersTable[[#All],[Supplier Code]],SupplierPerformanceWorkspace[[#This Row],[Supplier Code]],PurchaseOrdersTable[[#All],[Delay Days]])</f>
        <v>1.5</v>
      </c>
      <c r="O13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0.25</v>
      </c>
      <c r="P13" s="9">
        <f>AVERAGEIF(PurchaseOrdersTable[[#All],[Supplier Code]],SupplierPerformanceWorkspace[[#This Row],[Supplier Code]],PurchaseOrdersTable[[#All],[Defect Rate]])</f>
        <v>1.1041652204958436E-2</v>
      </c>
      <c r="Q13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13" s="46"/>
      <c r="T13" s="46"/>
      <c r="U13" s="46"/>
      <c r="V13" s="46"/>
      <c r="W13" s="46"/>
      <c r="X13" s="46"/>
      <c r="Y13" s="46"/>
    </row>
    <row r="14" spans="1:25" ht="12" customHeight="1">
      <c r="A14" t="s">
        <v>87</v>
      </c>
      <c r="B14" t="s">
        <v>229</v>
      </c>
      <c r="C14" t="s">
        <v>221</v>
      </c>
      <c r="D14" s="11">
        <v>8</v>
      </c>
      <c r="E14" t="s">
        <v>199</v>
      </c>
      <c r="F14" t="s">
        <v>200</v>
      </c>
      <c r="G14" s="12">
        <v>4.4000000000000004</v>
      </c>
      <c r="H14" t="s">
        <v>230</v>
      </c>
      <c r="J14" t="s">
        <v>87</v>
      </c>
      <c r="K14" t="s">
        <v>229</v>
      </c>
      <c r="L14" s="7">
        <f>SUMIF(PurchaseOrdersTable[[#All],[Supplier Code]],SupplierPerformanceWorkspace[[#This Row],[Supplier Code]],PurchaseOrdersTable[[#All],[Order Value (₹)]])</f>
        <v>2499871.7000000002</v>
      </c>
      <c r="M14" s="7">
        <f>AVERAGEIF(PurchaseOrdersTable[[#All],[Supplier Code]],SupplierPerformanceWorkspace[[#This Row],[Supplier Code]],PurchaseOrdersTable[[#All],[Unit Price (₹)]])</f>
        <v>2276.061666666667</v>
      </c>
      <c r="N14" s="13">
        <f>AVERAGEIF(PurchaseOrdersTable[[#All],[Supplier Code]],SupplierPerformanceWorkspace[[#This Row],[Supplier Code]],PurchaseOrdersTable[[#All],[Delay Days]])</f>
        <v>0.83333333333333337</v>
      </c>
      <c r="O14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0.66666666666666663</v>
      </c>
      <c r="P14" s="9">
        <f>AVERAGEIF(PurchaseOrdersTable[[#All],[Supplier Code]],SupplierPerformanceWorkspace[[#This Row],[Supplier Code]],PurchaseOrdersTable[[#All],[Defect Rate]])</f>
        <v>1.1423526618790432E-2</v>
      </c>
      <c r="Q14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14" s="46"/>
      <c r="T14" s="46"/>
      <c r="U14" s="46"/>
      <c r="V14" s="46"/>
      <c r="W14" s="46"/>
      <c r="X14" s="46"/>
      <c r="Y14" s="46"/>
    </row>
    <row r="15" spans="1:25" ht="12" customHeight="1">
      <c r="A15" t="s">
        <v>54</v>
      </c>
      <c r="B15" t="s">
        <v>231</v>
      </c>
      <c r="C15" t="s">
        <v>232</v>
      </c>
      <c r="D15" s="11">
        <v>13</v>
      </c>
      <c r="E15" t="s">
        <v>211</v>
      </c>
      <c r="F15" t="s">
        <v>200</v>
      </c>
      <c r="G15" s="12">
        <v>3.1</v>
      </c>
      <c r="H15" t="s">
        <v>233</v>
      </c>
      <c r="J15" t="s">
        <v>54</v>
      </c>
      <c r="K15" t="s">
        <v>231</v>
      </c>
      <c r="L15" s="7">
        <f>SUMIF(PurchaseOrdersTable[[#All],[Supplier Code]],SupplierPerformanceWorkspace[[#This Row],[Supplier Code]],PurchaseOrdersTable[[#All],[Order Value (₹)]])</f>
        <v>6198284.3000000007</v>
      </c>
      <c r="M15" s="7">
        <f>AVERAGEIF(PurchaseOrdersTable[[#All],[Supplier Code]],SupplierPerformanceWorkspace[[#This Row],[Supplier Code]],PurchaseOrdersTable[[#All],[Unit Price (₹)]])</f>
        <v>2166.92625</v>
      </c>
      <c r="N15" s="13">
        <f>AVERAGEIF(PurchaseOrdersTable[[#All],[Supplier Code]],SupplierPerformanceWorkspace[[#This Row],[Supplier Code]],PurchaseOrdersTable[[#All],[Delay Days]])</f>
        <v>6.875</v>
      </c>
      <c r="O15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0</v>
      </c>
      <c r="P15" s="9">
        <f>AVERAGEIF(PurchaseOrdersTable[[#All],[Supplier Code]],SupplierPerformanceWorkspace[[#This Row],[Supplier Code]],PurchaseOrdersTable[[#All],[Defect Rate]])</f>
        <v>6.9565928731419327E-2</v>
      </c>
      <c r="Q15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15" s="46"/>
      <c r="T15" s="46"/>
      <c r="U15" s="46"/>
      <c r="V15" s="46"/>
      <c r="W15" s="46"/>
      <c r="X15" s="46"/>
      <c r="Y15" s="46"/>
    </row>
    <row r="16" spans="1:25" ht="12" customHeight="1">
      <c r="A16" t="s">
        <v>26</v>
      </c>
      <c r="B16" t="s">
        <v>234</v>
      </c>
      <c r="C16" t="s">
        <v>235</v>
      </c>
      <c r="D16" s="11">
        <v>9</v>
      </c>
      <c r="E16" t="s">
        <v>199</v>
      </c>
      <c r="F16" t="s">
        <v>200</v>
      </c>
      <c r="G16" s="12">
        <v>3.8</v>
      </c>
      <c r="H16" t="s">
        <v>236</v>
      </c>
      <c r="J16" t="s">
        <v>26</v>
      </c>
      <c r="K16" t="s">
        <v>234</v>
      </c>
      <c r="L16" s="7">
        <f>SUMIF(PurchaseOrdersTable[[#All],[Supplier Code]],SupplierPerformanceWorkspace[[#This Row],[Supplier Code]],PurchaseOrdersTable[[#All],[Order Value (₹)]])</f>
        <v>20271589.100000001</v>
      </c>
      <c r="M16" s="7">
        <f>AVERAGEIF(PurchaseOrdersTable[[#All],[Supplier Code]],SupplierPerformanceWorkspace[[#This Row],[Supplier Code]],PurchaseOrdersTable[[#All],[Unit Price (₹)]])</f>
        <v>2395.4373529411769</v>
      </c>
      <c r="N16" s="13">
        <f>AVERAGEIF(PurchaseOrdersTable[[#All],[Supplier Code]],SupplierPerformanceWorkspace[[#This Row],[Supplier Code]],PurchaseOrdersTable[[#All],[Delay Days]])</f>
        <v>3.5294117647058822</v>
      </c>
      <c r="O16" s="9">
        <f>COUNTIFS(PurchaseOrdersTable[[#All],[Supplier Code]],SupplierPerformanceWorkspace[[#This Row],[Supplier Code]],PurchaseOrdersTable[[#All],[Delivery Status]], "On Time") /COUNTIF(PurchaseOrdersTable[[#All],[Supplier Code]],SupplierPerformanceWorkspace[[#This Row],[Supplier Code]])</f>
        <v>2.9411764705882353E-2</v>
      </c>
      <c r="P16" s="9">
        <f>AVERAGEIF(PurchaseOrdersTable[[#All],[Supplier Code]],SupplierPerformanceWorkspace[[#This Row],[Supplier Code]],PurchaseOrdersTable[[#All],[Defect Rate]])</f>
        <v>2.7961971557247885E-2</v>
      </c>
      <c r="Q16" s="6" t="str">
        <f>IF(AND(SupplierPerformanceWorkspace[[#This Row],[On-Time %]]&gt;=0.9,SupplierPerformanceWorkspace[[#This Row],[Average Defect Rate]]&lt;=0.02,SupplierPerformanceWorkspace[[#This Row],[Average Delay Days]]&lt;=2), "Preferred", IF(AND(SupplierPerformanceWorkspace[[#This Row],[On-Time %]]&gt;=0.75,SupplierPerformanceWorkspace[[#This Row],[Average Defect Rate]]&lt;=0.05,SupplierPerformanceWorkspace[[#This Row],[Average Delay Days]]&lt;=5), "Acceptable", "Needs Review"))</f>
        <v>Needs Review</v>
      </c>
      <c r="S16" s="46"/>
      <c r="T16" s="46"/>
      <c r="U16" s="46"/>
      <c r="V16" s="46"/>
      <c r="W16" s="46"/>
      <c r="X16" s="46"/>
      <c r="Y16" s="46"/>
    </row>
    <row r="17" spans="19:25" ht="12" customHeight="1">
      <c r="S17" s="46"/>
      <c r="T17" s="46"/>
      <c r="U17" s="46"/>
      <c r="V17" s="46"/>
      <c r="W17" s="46"/>
      <c r="X17" s="46"/>
      <c r="Y17" s="46"/>
    </row>
    <row r="18" spans="19:25" ht="12" customHeight="1">
      <c r="S18" s="46"/>
      <c r="T18" s="46"/>
      <c r="U18" s="46"/>
      <c r="V18" s="46"/>
      <c r="W18" s="46"/>
      <c r="X18" s="46"/>
      <c r="Y18" s="46"/>
    </row>
    <row r="19" spans="19:25" ht="12" customHeight="1">
      <c r="S19" s="46"/>
      <c r="T19" s="46"/>
      <c r="U19" s="46"/>
      <c r="V19" s="46"/>
      <c r="W19" s="46"/>
      <c r="X19" s="46"/>
      <c r="Y19" s="46"/>
    </row>
    <row r="20" spans="19:25" ht="29" customHeight="1">
      <c r="S20" s="46"/>
      <c r="T20" s="46"/>
      <c r="U20" s="46"/>
      <c r="V20" s="46"/>
      <c r="W20" s="46"/>
      <c r="X20" s="46"/>
      <c r="Y20" s="46"/>
    </row>
    <row r="21" spans="19:25" ht="12" customHeight="1"/>
    <row r="22" spans="19:25" ht="12" customHeight="1"/>
    <row r="23" spans="19:25" ht="12" customHeight="1"/>
    <row r="24" spans="19:25" ht="12" customHeight="1"/>
    <row r="25" spans="19:25" ht="12" customHeight="1"/>
    <row r="26" spans="19:25" ht="12" customHeight="1"/>
    <row r="27" spans="19:25" ht="12" customHeight="1"/>
    <row r="28" spans="19:25" ht="12" customHeight="1"/>
    <row r="29" spans="19:25" ht="12" customHeight="1"/>
    <row r="30" spans="19:25" ht="12" customHeight="1"/>
    <row r="31" spans="19:25" ht="12" customHeight="1"/>
    <row r="32" spans="19:25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</sheetData>
  <mergeCells count="5">
    <mergeCell ref="A1:H1"/>
    <mergeCell ref="A2:H2"/>
    <mergeCell ref="J1:P1"/>
    <mergeCell ref="S1:Y2"/>
    <mergeCell ref="S3:Y20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"/>
  <sheetViews>
    <sheetView topLeftCell="H2" workbookViewId="0">
      <selection activeCell="K5" sqref="K5"/>
    </sheetView>
  </sheetViews>
  <sheetFormatPr defaultRowHeight="14"/>
  <cols>
    <col min="1" max="1" width="14" customWidth="1"/>
    <col min="2" max="2" width="34" customWidth="1"/>
    <col min="3" max="3" width="28" customWidth="1"/>
    <col min="4" max="5" width="12" customWidth="1"/>
    <col min="6" max="6" width="18" customWidth="1"/>
    <col min="8" max="8" width="28" customWidth="1"/>
    <col min="9" max="10" width="17" customWidth="1"/>
    <col min="11" max="11" width="19" customWidth="1"/>
  </cols>
  <sheetData>
    <row r="1" spans="1:19" ht="18.649999999999999" customHeight="1">
      <c r="A1" s="48" t="s">
        <v>237</v>
      </c>
      <c r="B1" s="48"/>
      <c r="C1" s="48"/>
      <c r="D1" s="48"/>
      <c r="E1" s="48"/>
      <c r="F1" s="48"/>
      <c r="H1" s="48" t="s">
        <v>238</v>
      </c>
      <c r="I1" s="48"/>
      <c r="J1" s="48"/>
      <c r="K1" s="48"/>
      <c r="M1" s="45" t="s">
        <v>182</v>
      </c>
      <c r="N1" s="45"/>
      <c r="O1" s="45"/>
      <c r="P1" s="45"/>
      <c r="Q1" s="45"/>
      <c r="R1" s="45"/>
      <c r="S1" s="45"/>
    </row>
    <row r="2" spans="1:19" ht="16" customHeight="1">
      <c r="A2" s="49" t="s">
        <v>239</v>
      </c>
      <c r="B2" s="49"/>
      <c r="C2" s="49"/>
      <c r="D2" s="49"/>
      <c r="E2" s="49"/>
      <c r="F2" s="49"/>
      <c r="M2" s="45"/>
      <c r="N2" s="45"/>
      <c r="O2" s="45"/>
      <c r="P2" s="45"/>
      <c r="Q2" s="45"/>
      <c r="R2" s="45"/>
      <c r="S2" s="45"/>
    </row>
    <row r="3" spans="1:19" ht="12" customHeight="1">
      <c r="M3" s="46" t="s">
        <v>240</v>
      </c>
      <c r="N3" s="46"/>
      <c r="O3" s="46"/>
      <c r="P3" s="46"/>
      <c r="Q3" s="46"/>
      <c r="R3" s="46"/>
      <c r="S3" s="46"/>
    </row>
    <row r="4" spans="1:19" ht="21.4" customHeight="1">
      <c r="A4" s="1" t="s">
        <v>10</v>
      </c>
      <c r="B4" s="1" t="s">
        <v>17</v>
      </c>
      <c r="C4" s="1" t="s">
        <v>18</v>
      </c>
      <c r="D4" s="1" t="s">
        <v>241</v>
      </c>
      <c r="E4" s="1" t="s">
        <v>242</v>
      </c>
      <c r="F4" s="1" t="s">
        <v>243</v>
      </c>
      <c r="H4" s="1" t="s">
        <v>18</v>
      </c>
      <c r="I4" s="1" t="s">
        <v>244</v>
      </c>
      <c r="J4" s="1" t="s">
        <v>245</v>
      </c>
      <c r="K4" s="1" t="s">
        <v>192</v>
      </c>
      <c r="M4" s="46"/>
      <c r="N4" s="46"/>
      <c r="O4" s="46"/>
      <c r="P4" s="46"/>
      <c r="Q4" s="46"/>
      <c r="R4" s="46"/>
      <c r="S4" s="46"/>
    </row>
    <row r="5" spans="1:19" ht="12" customHeight="1">
      <c r="A5" t="s">
        <v>40</v>
      </c>
      <c r="B5" t="s">
        <v>246</v>
      </c>
      <c r="C5" t="s">
        <v>208</v>
      </c>
      <c r="D5" t="s">
        <v>247</v>
      </c>
      <c r="E5" t="s">
        <v>248</v>
      </c>
      <c r="F5" s="4">
        <v>450</v>
      </c>
      <c r="H5" t="s">
        <v>208</v>
      </c>
      <c r="I5" s="7">
        <f>SUMIF(PurchaseOrdersTable[[#All],[Category]],CategoryAnalysisWorkspace[[#This Row],[Category]],PurchaseOrdersTable[[#All],[Order Value (₹)]])</f>
        <v>29769140</v>
      </c>
      <c r="J5" s="6">
        <f>COUNTIF(PurchaseOrdersTable[[#All],[Category]],CategoryAnalysisWorkspace[[#This Row],[Category]])</f>
        <v>36</v>
      </c>
      <c r="K5" s="7">
        <f>AVERAGEIF(PurchaseOrdersTable[[#All],[Category]],CategoryAnalysisWorkspace[[#This Row],[Category]],PurchaseOrdersTable[[#All],[Unit Price (₹)]])</f>
        <v>472.22666666666669</v>
      </c>
      <c r="M5" s="46"/>
      <c r="N5" s="46"/>
      <c r="O5" s="46"/>
      <c r="P5" s="46"/>
      <c r="Q5" s="46"/>
      <c r="R5" s="46"/>
      <c r="S5" s="46"/>
    </row>
    <row r="6" spans="1:19" ht="12" customHeight="1">
      <c r="A6" t="s">
        <v>43</v>
      </c>
      <c r="B6" t="s">
        <v>249</v>
      </c>
      <c r="C6" t="s">
        <v>208</v>
      </c>
      <c r="D6" t="s">
        <v>250</v>
      </c>
      <c r="E6" t="s">
        <v>251</v>
      </c>
      <c r="F6" s="4">
        <v>780</v>
      </c>
      <c r="H6" t="s">
        <v>216</v>
      </c>
      <c r="I6" s="7">
        <f>SUMIF(PurchaseOrdersTable[[#All],[Category]],CategoryAnalysisWorkspace[[#This Row],[Category]],PurchaseOrdersTable[[#All],[Order Value (₹)]])</f>
        <v>23606088.800000001</v>
      </c>
      <c r="J6" s="6">
        <f>COUNTIF(PurchaseOrdersTable[[#All],[Category]],CategoryAnalysisWorkspace[[#This Row],[Category]])</f>
        <v>24</v>
      </c>
      <c r="K6" s="7">
        <f>AVERAGEIF(PurchaseOrdersTable[[#All],[Category]],CategoryAnalysisWorkspace[[#This Row],[Category]],PurchaseOrdersTable[[#All],[Unit Price (₹)]])</f>
        <v>2222.4504166666666</v>
      </c>
      <c r="M6" s="46"/>
      <c r="N6" s="46"/>
      <c r="O6" s="46"/>
      <c r="P6" s="46"/>
      <c r="Q6" s="46"/>
      <c r="R6" s="46"/>
      <c r="S6" s="46"/>
    </row>
    <row r="7" spans="1:19" ht="12" customHeight="1">
      <c r="A7" t="s">
        <v>58</v>
      </c>
      <c r="B7" t="s">
        <v>252</v>
      </c>
      <c r="C7" t="s">
        <v>208</v>
      </c>
      <c r="D7" t="s">
        <v>247</v>
      </c>
      <c r="E7" t="s">
        <v>248</v>
      </c>
      <c r="F7" s="4">
        <v>320</v>
      </c>
      <c r="H7" t="s">
        <v>219</v>
      </c>
      <c r="I7" s="7">
        <f>SUMIF(PurchaseOrdersTable[[#All],[Category]],CategoryAnalysisWorkspace[[#This Row],[Category]],PurchaseOrdersTable[[#All],[Order Value (₹)]])</f>
        <v>8568624.3999999985</v>
      </c>
      <c r="J7" s="6">
        <f>COUNTIF(PurchaseOrdersTable[[#All],[Category]],CategoryAnalysisWorkspace[[#This Row],[Category]])</f>
        <v>18</v>
      </c>
      <c r="K7" s="7">
        <f>AVERAGEIF(PurchaseOrdersTable[[#All],[Category]],CategoryAnalysisWorkspace[[#This Row],[Category]],PurchaseOrdersTable[[#All],[Unit Price (₹)]])</f>
        <v>4883.2977777777778</v>
      </c>
      <c r="M7" s="46"/>
      <c r="N7" s="46"/>
      <c r="O7" s="46"/>
      <c r="P7" s="46"/>
      <c r="Q7" s="46"/>
      <c r="R7" s="46"/>
      <c r="S7" s="46"/>
    </row>
    <row r="8" spans="1:19" ht="12" customHeight="1">
      <c r="A8" t="s">
        <v>27</v>
      </c>
      <c r="B8" t="s">
        <v>253</v>
      </c>
      <c r="C8" t="s">
        <v>208</v>
      </c>
      <c r="D8" t="s">
        <v>247</v>
      </c>
      <c r="E8" t="s">
        <v>251</v>
      </c>
      <c r="F8" s="4">
        <v>550</v>
      </c>
      <c r="H8" t="s">
        <v>222</v>
      </c>
      <c r="I8" s="7">
        <f>SUMIF(PurchaseOrdersTable[[#All],[Category]],CategoryAnalysisWorkspace[[#This Row],[Category]],PurchaseOrdersTable[[#All],[Order Value (₹)]])</f>
        <v>17594925.799999997</v>
      </c>
      <c r="J8" s="6">
        <f>COUNTIF(PurchaseOrdersTable[[#All],[Category]],CategoryAnalysisWorkspace[[#This Row],[Category]])</f>
        <v>24</v>
      </c>
      <c r="K8" s="7">
        <f>AVERAGEIF(PurchaseOrdersTable[[#All],[Category]],CategoryAnalysisWorkspace[[#This Row],[Category]],PurchaseOrdersTable[[#All],[Unit Price (₹)]])</f>
        <v>1858.1862499999997</v>
      </c>
      <c r="M8" s="46"/>
      <c r="N8" s="46"/>
      <c r="O8" s="46"/>
      <c r="P8" s="46"/>
      <c r="Q8" s="46"/>
      <c r="R8" s="46"/>
      <c r="S8" s="46"/>
    </row>
    <row r="9" spans="1:19" ht="12" customHeight="1">
      <c r="A9" t="s">
        <v>75</v>
      </c>
      <c r="B9" t="s">
        <v>254</v>
      </c>
      <c r="C9" t="s">
        <v>216</v>
      </c>
      <c r="D9" t="s">
        <v>247</v>
      </c>
      <c r="E9" t="s">
        <v>248</v>
      </c>
      <c r="F9" s="4">
        <v>625</v>
      </c>
      <c r="H9" t="s">
        <v>230</v>
      </c>
      <c r="I9" s="7">
        <f>SUMIF(PurchaseOrdersTable[[#All],[Category]],CategoryAnalysisWorkspace[[#This Row],[Category]],PurchaseOrdersTable[[#All],[Order Value (₹)]])</f>
        <v>8178021.4000000004</v>
      </c>
      <c r="J9" s="6">
        <f>COUNTIF(PurchaseOrdersTable[[#All],[Category]],CategoryAnalysisWorkspace[[#This Row],[Category]])</f>
        <v>18</v>
      </c>
      <c r="K9" s="7">
        <f>AVERAGEIF(PurchaseOrdersTable[[#All],[Category]],CategoryAnalysisWorkspace[[#This Row],[Category]],PurchaseOrdersTable[[#All],[Unit Price (₹)]])</f>
        <v>2343.6672222222219</v>
      </c>
      <c r="M9" s="46"/>
      <c r="N9" s="46"/>
      <c r="O9" s="46"/>
      <c r="P9" s="46"/>
      <c r="Q9" s="46"/>
      <c r="R9" s="46"/>
      <c r="S9" s="46"/>
    </row>
    <row r="10" spans="1:19" ht="12" customHeight="1">
      <c r="A10" t="s">
        <v>70</v>
      </c>
      <c r="B10" t="s">
        <v>255</v>
      </c>
      <c r="C10" t="s">
        <v>216</v>
      </c>
      <c r="D10" t="s">
        <v>256</v>
      </c>
      <c r="E10" t="s">
        <v>248</v>
      </c>
      <c r="F10" s="4">
        <v>4200</v>
      </c>
      <c r="M10" s="46"/>
      <c r="N10" s="46"/>
      <c r="O10" s="46"/>
      <c r="P10" s="46"/>
      <c r="Q10" s="46"/>
      <c r="R10" s="46"/>
      <c r="S10" s="46"/>
    </row>
    <row r="11" spans="1:19" ht="12" customHeight="1">
      <c r="A11" t="s">
        <v>36</v>
      </c>
      <c r="B11" t="s">
        <v>257</v>
      </c>
      <c r="C11" t="s">
        <v>216</v>
      </c>
      <c r="D11" t="s">
        <v>247</v>
      </c>
      <c r="E11" t="s">
        <v>248</v>
      </c>
      <c r="F11" s="4">
        <v>2250</v>
      </c>
      <c r="M11" s="46"/>
      <c r="N11" s="46"/>
      <c r="O11" s="46"/>
      <c r="P11" s="46"/>
      <c r="Q11" s="46"/>
      <c r="R11" s="46"/>
      <c r="S11" s="46"/>
    </row>
    <row r="12" spans="1:19" ht="12" customHeight="1">
      <c r="A12" t="s">
        <v>46</v>
      </c>
      <c r="B12" t="s">
        <v>258</v>
      </c>
      <c r="C12" t="s">
        <v>216</v>
      </c>
      <c r="D12" t="s">
        <v>247</v>
      </c>
      <c r="E12" t="s">
        <v>251</v>
      </c>
      <c r="F12" s="4">
        <v>1850</v>
      </c>
      <c r="H12" s="51" t="s">
        <v>357</v>
      </c>
      <c r="I12" s="51"/>
      <c r="M12" s="46"/>
      <c r="N12" s="46"/>
      <c r="O12" s="46"/>
      <c r="P12" s="46"/>
      <c r="Q12" s="46"/>
      <c r="R12" s="46"/>
      <c r="S12" s="46"/>
    </row>
    <row r="13" spans="1:19" ht="12" customHeight="1">
      <c r="A13" t="s">
        <v>50</v>
      </c>
      <c r="B13" t="s">
        <v>259</v>
      </c>
      <c r="C13" t="s">
        <v>219</v>
      </c>
      <c r="D13" t="s">
        <v>247</v>
      </c>
      <c r="E13" t="s">
        <v>251</v>
      </c>
      <c r="F13" s="4">
        <v>3850</v>
      </c>
      <c r="M13" s="46"/>
      <c r="N13" s="46"/>
      <c r="O13" s="46"/>
      <c r="P13" s="46"/>
      <c r="Q13" s="46"/>
      <c r="R13" s="46"/>
      <c r="S13" s="46"/>
    </row>
    <row r="14" spans="1:19" ht="12" customHeight="1">
      <c r="A14" t="s">
        <v>48</v>
      </c>
      <c r="B14" t="s">
        <v>260</v>
      </c>
      <c r="C14" t="s">
        <v>219</v>
      </c>
      <c r="D14" t="s">
        <v>247</v>
      </c>
      <c r="E14" t="s">
        <v>251</v>
      </c>
      <c r="F14" s="4">
        <v>4850</v>
      </c>
      <c r="M14" s="46"/>
      <c r="N14" s="46"/>
      <c r="O14" s="46"/>
      <c r="P14" s="46"/>
      <c r="Q14" s="46"/>
      <c r="R14" s="46"/>
      <c r="S14" s="46"/>
    </row>
    <row r="15" spans="1:19" ht="12" customHeight="1">
      <c r="A15" t="s">
        <v>102</v>
      </c>
      <c r="B15" t="s">
        <v>261</v>
      </c>
      <c r="C15" t="s">
        <v>219</v>
      </c>
      <c r="D15" t="s">
        <v>247</v>
      </c>
      <c r="E15" t="s">
        <v>248</v>
      </c>
      <c r="F15" s="4">
        <v>6200</v>
      </c>
      <c r="M15" s="46"/>
      <c r="N15" s="46"/>
      <c r="O15" s="46"/>
      <c r="P15" s="46"/>
      <c r="Q15" s="46"/>
      <c r="R15" s="46"/>
      <c r="S15" s="46"/>
    </row>
    <row r="16" spans="1:19" ht="12" customHeight="1">
      <c r="A16" t="s">
        <v>64</v>
      </c>
      <c r="B16" t="s">
        <v>262</v>
      </c>
      <c r="C16" t="s">
        <v>222</v>
      </c>
      <c r="D16" t="s">
        <v>247</v>
      </c>
      <c r="E16" t="s">
        <v>248</v>
      </c>
      <c r="F16" s="4">
        <v>1250</v>
      </c>
      <c r="M16" s="46"/>
      <c r="N16" s="46"/>
      <c r="O16" s="46"/>
      <c r="P16" s="46"/>
      <c r="Q16" s="46"/>
      <c r="R16" s="46"/>
      <c r="S16" s="46"/>
    </row>
    <row r="17" spans="1:19" ht="12" customHeight="1">
      <c r="A17" t="s">
        <v>55</v>
      </c>
      <c r="B17" t="s">
        <v>263</v>
      </c>
      <c r="C17" t="s">
        <v>222</v>
      </c>
      <c r="D17" t="s">
        <v>247</v>
      </c>
      <c r="E17" t="s">
        <v>248</v>
      </c>
      <c r="F17" s="4">
        <v>2950</v>
      </c>
      <c r="M17" s="46"/>
      <c r="N17" s="46"/>
      <c r="O17" s="46"/>
      <c r="P17" s="46"/>
      <c r="Q17" s="46"/>
      <c r="R17" s="46"/>
      <c r="S17" s="46"/>
    </row>
    <row r="18" spans="1:19" ht="12" customHeight="1">
      <c r="A18" t="s">
        <v>32</v>
      </c>
      <c r="B18" t="s">
        <v>264</v>
      </c>
      <c r="C18" t="s">
        <v>222</v>
      </c>
      <c r="D18" t="s">
        <v>247</v>
      </c>
      <c r="E18" t="s">
        <v>251</v>
      </c>
      <c r="F18" s="4">
        <v>1450</v>
      </c>
      <c r="M18" s="46"/>
      <c r="N18" s="46"/>
      <c r="O18" s="46"/>
      <c r="P18" s="46"/>
      <c r="Q18" s="46"/>
      <c r="R18" s="46"/>
      <c r="S18" s="46"/>
    </row>
    <row r="19" spans="1:19" ht="12" customHeight="1">
      <c r="A19" t="s">
        <v>82</v>
      </c>
      <c r="B19" t="s">
        <v>265</v>
      </c>
      <c r="C19" t="s">
        <v>230</v>
      </c>
      <c r="D19" t="s">
        <v>266</v>
      </c>
      <c r="E19" t="s">
        <v>251</v>
      </c>
      <c r="F19" s="4">
        <v>3100</v>
      </c>
      <c r="M19" s="46"/>
      <c r="N19" s="46"/>
      <c r="O19" s="46"/>
      <c r="P19" s="46"/>
      <c r="Q19" s="46"/>
      <c r="R19" s="46"/>
      <c r="S19" s="46"/>
    </row>
    <row r="20" spans="1:19" ht="12" customHeight="1">
      <c r="A20" t="s">
        <v>108</v>
      </c>
      <c r="B20" t="s">
        <v>267</v>
      </c>
      <c r="C20" t="s">
        <v>230</v>
      </c>
      <c r="D20" t="s">
        <v>268</v>
      </c>
      <c r="E20" t="s">
        <v>251</v>
      </c>
      <c r="F20" s="4">
        <v>1650</v>
      </c>
      <c r="M20" s="46"/>
      <c r="N20" s="46"/>
      <c r="O20" s="46"/>
      <c r="P20" s="46"/>
      <c r="Q20" s="46"/>
      <c r="R20" s="46"/>
      <c r="S20" s="46"/>
    </row>
    <row r="21" spans="1:19" ht="12" customHeight="1">
      <c r="A21" t="s">
        <v>88</v>
      </c>
      <c r="B21" t="s">
        <v>269</v>
      </c>
      <c r="C21" t="s">
        <v>230</v>
      </c>
      <c r="D21" t="s">
        <v>270</v>
      </c>
      <c r="E21" t="s">
        <v>271</v>
      </c>
      <c r="F21" s="4">
        <v>950</v>
      </c>
    </row>
    <row r="22" spans="1:19" ht="12" customHeight="1">
      <c r="A22" t="s">
        <v>96</v>
      </c>
      <c r="B22" t="s">
        <v>272</v>
      </c>
      <c r="C22" t="s">
        <v>230</v>
      </c>
      <c r="D22" t="s">
        <v>273</v>
      </c>
      <c r="E22" t="s">
        <v>248</v>
      </c>
      <c r="F22" s="4">
        <v>5400</v>
      </c>
    </row>
    <row r="23" spans="1:19" ht="12" customHeight="1"/>
    <row r="24" spans="1:19" ht="12" customHeight="1"/>
    <row r="25" spans="1:19" ht="12" customHeight="1"/>
    <row r="26" spans="1:19" ht="12" customHeight="1"/>
    <row r="27" spans="1:19" ht="12" customHeight="1"/>
    <row r="28" spans="1:19" ht="12" customHeight="1"/>
    <row r="29" spans="1:19" ht="12" customHeight="1"/>
    <row r="30" spans="1:19" ht="12" customHeight="1"/>
    <row r="31" spans="1:19" ht="12" customHeight="1"/>
    <row r="32" spans="1:19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</sheetData>
  <mergeCells count="6">
    <mergeCell ref="A1:F1"/>
    <mergeCell ref="A2:F2"/>
    <mergeCell ref="H1:K1"/>
    <mergeCell ref="M1:S2"/>
    <mergeCell ref="M3:S20"/>
    <mergeCell ref="H12:I12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"/>
  <sheetViews>
    <sheetView workbookViewId="0">
      <selection activeCell="C8" sqref="C8"/>
    </sheetView>
  </sheetViews>
  <sheetFormatPr defaultRowHeight="14"/>
  <cols>
    <col min="1" max="1" width="28" customWidth="1"/>
    <col min="2" max="2" width="23.83203125" customWidth="1"/>
    <col min="3" max="3" width="24" customWidth="1"/>
    <col min="4" max="4" width="22" customWidth="1"/>
    <col min="5" max="5" width="31" customWidth="1"/>
  </cols>
  <sheetData>
    <row r="1" spans="1:13" ht="18.649999999999999" customHeight="1">
      <c r="A1" s="48" t="s">
        <v>274</v>
      </c>
      <c r="B1" s="48"/>
      <c r="C1" s="48"/>
      <c r="D1" s="48"/>
      <c r="E1" s="48"/>
      <c r="G1" s="45" t="s">
        <v>275</v>
      </c>
      <c r="H1" s="45"/>
      <c r="I1" s="45"/>
      <c r="J1" s="45"/>
      <c r="K1" s="45"/>
      <c r="L1" s="45"/>
      <c r="M1" s="45"/>
    </row>
    <row r="2" spans="1:13" ht="16" customHeight="1">
      <c r="A2" s="49" t="s">
        <v>276</v>
      </c>
      <c r="B2" s="49"/>
      <c r="C2" s="49"/>
      <c r="D2" s="49"/>
      <c r="E2" s="49"/>
      <c r="G2" s="45"/>
      <c r="H2" s="45"/>
      <c r="I2" s="45"/>
      <c r="J2" s="45"/>
      <c r="K2" s="45"/>
      <c r="L2" s="45"/>
      <c r="M2" s="45"/>
    </row>
    <row r="3" spans="1:13" ht="12" customHeight="1">
      <c r="G3" s="46" t="s">
        <v>277</v>
      </c>
      <c r="H3" s="46"/>
      <c r="I3" s="46"/>
      <c r="J3" s="46"/>
      <c r="K3" s="46"/>
      <c r="L3" s="46"/>
      <c r="M3" s="46"/>
    </row>
    <row r="4" spans="1:13" ht="21.4" customHeight="1">
      <c r="A4" s="1" t="s">
        <v>278</v>
      </c>
      <c r="B4" s="1" t="s">
        <v>25</v>
      </c>
      <c r="C4" s="1" t="s">
        <v>30</v>
      </c>
      <c r="D4" s="1" t="s">
        <v>34</v>
      </c>
      <c r="E4" s="1" t="s">
        <v>38</v>
      </c>
      <c r="G4" s="46"/>
      <c r="H4" s="46"/>
      <c r="I4" s="46"/>
      <c r="J4" s="46"/>
      <c r="K4" s="46"/>
      <c r="L4" s="46"/>
      <c r="M4" s="46"/>
    </row>
    <row r="5" spans="1:13" ht="12" customHeight="1">
      <c r="A5" t="s">
        <v>279</v>
      </c>
      <c r="B5" s="5">
        <v>2.1999999999999999E-2</v>
      </c>
      <c r="C5" s="5">
        <v>2.5000000000000001E-2</v>
      </c>
      <c r="D5" s="5">
        <v>2.8000000000000001E-2</v>
      </c>
      <c r="E5" s="5">
        <v>0.03</v>
      </c>
      <c r="G5" s="46"/>
      <c r="H5" s="46"/>
      <c r="I5" s="46"/>
      <c r="J5" s="46"/>
      <c r="K5" s="46"/>
      <c r="L5" s="46"/>
      <c r="M5" s="46"/>
    </row>
    <row r="6" spans="1:13" ht="12" customHeight="1">
      <c r="A6" t="s">
        <v>280</v>
      </c>
      <c r="B6" s="5">
        <v>4.4999999999999998E-2</v>
      </c>
      <c r="C6" s="5">
        <v>4.8000000000000001E-2</v>
      </c>
      <c r="D6" s="5">
        <v>0.05</v>
      </c>
      <c r="E6" s="5">
        <v>5.1999999999999998E-2</v>
      </c>
      <c r="G6" s="46"/>
      <c r="H6" s="46"/>
      <c r="I6" s="46"/>
      <c r="J6" s="46"/>
      <c r="K6" s="46"/>
      <c r="L6" s="46"/>
      <c r="M6" s="46"/>
    </row>
    <row r="7" spans="1:13" ht="12" customHeight="1">
      <c r="A7" t="s">
        <v>281</v>
      </c>
      <c r="B7" s="14">
        <v>3500</v>
      </c>
      <c r="C7" s="14">
        <v>4200</v>
      </c>
      <c r="D7" s="14">
        <v>4500</v>
      </c>
      <c r="E7" s="14">
        <v>4000</v>
      </c>
      <c r="G7" s="46"/>
      <c r="H7" s="46"/>
      <c r="I7" s="46"/>
      <c r="J7" s="46"/>
      <c r="K7" s="46"/>
      <c r="L7" s="46"/>
      <c r="M7" s="46"/>
    </row>
    <row r="8" spans="1:13" ht="12" customHeight="1">
      <c r="A8" t="s">
        <v>282</v>
      </c>
      <c r="B8" s="14">
        <v>12000</v>
      </c>
      <c r="C8" s="14">
        <v>15000</v>
      </c>
      <c r="D8" s="14">
        <v>15000</v>
      </c>
      <c r="E8" s="14">
        <v>14000</v>
      </c>
      <c r="G8" s="46"/>
      <c r="H8" s="46"/>
      <c r="I8" s="46"/>
      <c r="J8" s="46"/>
      <c r="K8" s="46"/>
      <c r="L8" s="46"/>
      <c r="M8" s="46"/>
    </row>
    <row r="9" spans="1:13" ht="12" customHeight="1">
      <c r="G9" s="46"/>
      <c r="H9" s="46"/>
      <c r="I9" s="46"/>
      <c r="J9" s="46"/>
      <c r="K9" s="46"/>
      <c r="L9" s="46"/>
      <c r="M9" s="46"/>
    </row>
    <row r="10" spans="1:13" ht="12" customHeight="1">
      <c r="G10" s="46"/>
      <c r="H10" s="46"/>
      <c r="I10" s="46"/>
      <c r="J10" s="46"/>
      <c r="K10" s="46"/>
      <c r="L10" s="46"/>
      <c r="M10" s="46"/>
    </row>
    <row r="11" spans="1:13" ht="12" customHeight="1">
      <c r="A11" s="50" t="s">
        <v>283</v>
      </c>
      <c r="B11" s="50"/>
      <c r="C11" s="50"/>
      <c r="D11" s="50"/>
      <c r="E11" s="50"/>
      <c r="G11" s="46"/>
      <c r="H11" s="46"/>
      <c r="I11" s="46"/>
      <c r="J11" s="46"/>
      <c r="K11" s="46"/>
      <c r="L11" s="46"/>
      <c r="M11" s="46"/>
    </row>
    <row r="12" spans="1:13" ht="12" customHeight="1">
      <c r="A12" s="1" t="s">
        <v>284</v>
      </c>
      <c r="B12" s="1" t="s">
        <v>285</v>
      </c>
      <c r="C12" s="1" t="s">
        <v>195</v>
      </c>
      <c r="D12" s="1" t="s">
        <v>286</v>
      </c>
      <c r="E12" s="1" t="s">
        <v>287</v>
      </c>
      <c r="G12" s="46"/>
      <c r="H12" s="46"/>
      <c r="I12" s="46"/>
      <c r="J12" s="46"/>
      <c r="K12" s="46"/>
      <c r="L12" s="46"/>
      <c r="M12" s="46"/>
    </row>
    <row r="13" spans="1:13" ht="12" customHeight="1">
      <c r="A13" t="s">
        <v>288</v>
      </c>
      <c r="B13" t="s">
        <v>289</v>
      </c>
      <c r="C13" t="s">
        <v>290</v>
      </c>
      <c r="D13" t="s">
        <v>291</v>
      </c>
      <c r="E13" t="s">
        <v>292</v>
      </c>
      <c r="G13" s="46"/>
      <c r="H13" s="46"/>
      <c r="I13" s="46"/>
      <c r="J13" s="46"/>
      <c r="K13" s="46"/>
      <c r="L13" s="46"/>
      <c r="M13" s="46"/>
    </row>
    <row r="14" spans="1:13" ht="12" customHeight="1">
      <c r="A14" t="s">
        <v>293</v>
      </c>
      <c r="B14" t="s">
        <v>294</v>
      </c>
      <c r="C14" t="s">
        <v>295</v>
      </c>
      <c r="D14" t="s">
        <v>296</v>
      </c>
      <c r="E14" t="s">
        <v>297</v>
      </c>
      <c r="G14" s="46"/>
      <c r="H14" s="46"/>
      <c r="I14" s="46"/>
      <c r="J14" s="46"/>
      <c r="K14" s="46"/>
      <c r="L14" s="46"/>
      <c r="M14" s="46"/>
    </row>
    <row r="15" spans="1:13" ht="12" customHeight="1">
      <c r="A15" t="s">
        <v>298</v>
      </c>
      <c r="B15" t="s">
        <v>299</v>
      </c>
      <c r="C15" t="s">
        <v>300</v>
      </c>
      <c r="D15" t="s">
        <v>301</v>
      </c>
      <c r="E15" t="s">
        <v>302</v>
      </c>
      <c r="G15" s="46"/>
      <c r="H15" s="46"/>
      <c r="I15" s="46"/>
      <c r="J15" s="46"/>
      <c r="K15" s="46"/>
      <c r="L15" s="46"/>
      <c r="M15" s="46"/>
    </row>
    <row r="16" spans="1:13" ht="12" customHeight="1">
      <c r="G16" s="46"/>
      <c r="H16" s="46"/>
      <c r="I16" s="46"/>
      <c r="J16" s="46"/>
      <c r="K16" s="46"/>
      <c r="L16" s="46"/>
      <c r="M16" s="46"/>
    </row>
    <row r="17" spans="1:13" ht="12" customHeight="1">
      <c r="G17" s="46"/>
      <c r="H17" s="46"/>
      <c r="I17" s="46"/>
      <c r="J17" s="46"/>
      <c r="K17" s="46"/>
      <c r="L17" s="46"/>
      <c r="M17" s="46"/>
    </row>
    <row r="18" spans="1:13" ht="12" customHeight="1">
      <c r="A18" s="50" t="s">
        <v>303</v>
      </c>
      <c r="B18" s="50"/>
      <c r="C18" s="50"/>
      <c r="D18" s="50"/>
      <c r="E18" s="50"/>
      <c r="G18" s="46"/>
      <c r="H18" s="46"/>
      <c r="I18" s="46"/>
      <c r="J18" s="46"/>
      <c r="K18" s="46"/>
      <c r="L18" s="46"/>
      <c r="M18" s="46"/>
    </row>
    <row r="19" spans="1:13" ht="12" customHeight="1">
      <c r="A19" s="1" t="s">
        <v>304</v>
      </c>
      <c r="B19" s="1" t="s">
        <v>21</v>
      </c>
      <c r="C19" s="1" t="s">
        <v>305</v>
      </c>
      <c r="G19" s="46"/>
      <c r="H19" s="46"/>
      <c r="I19" s="46"/>
      <c r="J19" s="46"/>
      <c r="K19" s="46"/>
      <c r="L19" s="46"/>
      <c r="M19" s="46"/>
    </row>
    <row r="20" spans="1:13" ht="28" customHeight="1">
      <c r="A20" t="s">
        <v>306</v>
      </c>
      <c r="B20" t="s">
        <v>307</v>
      </c>
      <c r="C20" t="s">
        <v>308</v>
      </c>
      <c r="G20" s="46"/>
      <c r="H20" s="46"/>
      <c r="I20" s="46"/>
      <c r="J20" s="46"/>
      <c r="K20" s="46"/>
      <c r="L20" s="46"/>
      <c r="M20" s="46"/>
    </row>
    <row r="21" spans="1:13" ht="12" customHeight="1">
      <c r="A21" t="s">
        <v>309</v>
      </c>
      <c r="B21" t="s">
        <v>310</v>
      </c>
      <c r="C21" t="s">
        <v>311</v>
      </c>
    </row>
    <row r="22" spans="1:13" ht="12" customHeight="1">
      <c r="A22" t="s">
        <v>312</v>
      </c>
      <c r="B22" t="s">
        <v>313</v>
      </c>
      <c r="C22" t="s">
        <v>314</v>
      </c>
    </row>
    <row r="23" spans="1:13" ht="12" customHeight="1"/>
    <row r="24" spans="1:13" ht="12" customHeight="1"/>
    <row r="25" spans="1:13" ht="12" customHeight="1"/>
    <row r="26" spans="1:13" ht="12" customHeight="1"/>
    <row r="27" spans="1:13" ht="12" customHeight="1"/>
    <row r="28" spans="1:13" ht="12" customHeight="1"/>
    <row r="29" spans="1:13" ht="12" customHeight="1"/>
    <row r="30" spans="1:13" ht="12" customHeight="1"/>
    <row r="31" spans="1:13" ht="12" customHeight="1"/>
    <row r="32" spans="1:13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</sheetData>
  <mergeCells count="6">
    <mergeCell ref="A1:E1"/>
    <mergeCell ref="A2:E2"/>
    <mergeCell ref="A11:E11"/>
    <mergeCell ref="A18:E18"/>
    <mergeCell ref="G1:M2"/>
    <mergeCell ref="G3:M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0"/>
  <sheetViews>
    <sheetView tabSelected="1" topLeftCell="H1" workbookViewId="0">
      <selection activeCell="O15" sqref="O15"/>
    </sheetView>
  </sheetViews>
  <sheetFormatPr defaultRowHeight="14"/>
  <cols>
    <col min="1" max="1" width="34" customWidth="1"/>
    <col min="2" max="2" width="13" customWidth="1"/>
    <col min="3" max="3" width="17" customWidth="1"/>
    <col min="4" max="4" width="11" customWidth="1"/>
    <col min="5" max="5" width="18" customWidth="1"/>
    <col min="6" max="7" width="14" customWidth="1"/>
    <col min="8" max="8" width="28" customWidth="1"/>
    <col min="9" max="9" width="16" customWidth="1"/>
    <col min="10" max="10" width="22" customWidth="1"/>
    <col min="11" max="12" width="16" customWidth="1"/>
    <col min="13" max="13" width="18.83203125" customWidth="1"/>
    <col min="14" max="14" width="16" customWidth="1"/>
    <col min="15" max="15" width="18" customWidth="1"/>
    <col min="16" max="16" width="17" customWidth="1"/>
    <col min="17" max="17" width="22" customWidth="1"/>
  </cols>
  <sheetData>
    <row r="1" spans="1:25" ht="18.649999999999999" customHeight="1">
      <c r="A1" s="48" t="s">
        <v>315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S1" s="45" t="s">
        <v>316</v>
      </c>
      <c r="T1" s="45"/>
      <c r="U1" s="45"/>
      <c r="V1" s="45"/>
      <c r="W1" s="45"/>
      <c r="X1" s="45"/>
      <c r="Y1" s="45"/>
    </row>
    <row r="2" spans="1:25" ht="16" customHeight="1">
      <c r="A2" s="49" t="s">
        <v>317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S2" s="45"/>
      <c r="T2" s="45"/>
      <c r="U2" s="45"/>
      <c r="V2" s="45"/>
      <c r="W2" s="45"/>
      <c r="X2" s="45"/>
      <c r="Y2" s="45"/>
    </row>
    <row r="3" spans="1:25" ht="12" customHeight="1">
      <c r="S3" s="46" t="s">
        <v>318</v>
      </c>
      <c r="T3" s="46"/>
      <c r="U3" s="46"/>
      <c r="V3" s="46"/>
      <c r="W3" s="46"/>
      <c r="X3" s="46"/>
      <c r="Y3" s="46"/>
    </row>
    <row r="4" spans="1:25" ht="21.4" customHeight="1">
      <c r="A4" s="50" t="s">
        <v>319</v>
      </c>
      <c r="B4" s="50"/>
      <c r="C4" s="50"/>
      <c r="D4" s="50"/>
      <c r="S4" s="46"/>
      <c r="T4" s="46"/>
      <c r="U4" s="46"/>
      <c r="V4" s="46"/>
      <c r="W4" s="46"/>
      <c r="X4" s="46"/>
      <c r="Y4" s="46"/>
    </row>
    <row r="5" spans="1:25" ht="12" customHeight="1">
      <c r="A5" s="15" t="s">
        <v>320</v>
      </c>
      <c r="B5" t="s">
        <v>321</v>
      </c>
      <c r="S5" s="46"/>
      <c r="T5" s="46"/>
      <c r="U5" s="46"/>
      <c r="V5" s="46"/>
      <c r="W5" s="46"/>
      <c r="X5" s="46"/>
      <c r="Y5" s="46"/>
    </row>
    <row r="6" spans="1:25" ht="12" customHeight="1">
      <c r="A6" s="15" t="s">
        <v>10</v>
      </c>
      <c r="B6" t="s">
        <v>40</v>
      </c>
      <c r="S6" s="46"/>
      <c r="T6" s="46"/>
      <c r="U6" s="46"/>
      <c r="V6" s="46"/>
      <c r="W6" s="46"/>
      <c r="X6" s="46"/>
      <c r="Y6" s="46"/>
    </row>
    <row r="7" spans="1:25" ht="12" customHeight="1">
      <c r="A7" s="15" t="s">
        <v>322</v>
      </c>
      <c r="B7">
        <v>3500</v>
      </c>
      <c r="S7" s="46"/>
      <c r="T7" s="46"/>
      <c r="U7" s="46"/>
      <c r="V7" s="46"/>
      <c r="W7" s="46"/>
      <c r="X7" s="46"/>
      <c r="Y7" s="46"/>
    </row>
    <row r="8" spans="1:25" ht="12" customHeight="1">
      <c r="A8" s="15" t="s">
        <v>323</v>
      </c>
      <c r="B8" t="s">
        <v>30</v>
      </c>
      <c r="S8" s="46"/>
      <c r="T8" s="46"/>
      <c r="U8" s="46"/>
      <c r="V8" s="46"/>
      <c r="W8" s="46"/>
      <c r="X8" s="46"/>
      <c r="Y8" s="46"/>
    </row>
    <row r="9" spans="1:25" ht="12" customHeight="1">
      <c r="A9" s="15" t="s">
        <v>324</v>
      </c>
      <c r="B9" t="s">
        <v>325</v>
      </c>
      <c r="S9" s="46"/>
      <c r="T9" s="46"/>
      <c r="U9" s="46"/>
      <c r="V9" s="46"/>
      <c r="W9" s="46"/>
      <c r="X9" s="46"/>
      <c r="Y9" s="46"/>
    </row>
    <row r="10" spans="1:25" ht="12" customHeight="1">
      <c r="A10" s="15" t="s">
        <v>326</v>
      </c>
      <c r="B10" s="14">
        <v>1470000</v>
      </c>
      <c r="S10" s="46"/>
      <c r="T10" s="46"/>
      <c r="U10" s="46"/>
      <c r="V10" s="46"/>
      <c r="W10" s="46"/>
      <c r="X10" s="46"/>
      <c r="Y10" s="46"/>
    </row>
    <row r="11" spans="1:25" ht="12" customHeight="1">
      <c r="A11" s="15" t="s">
        <v>327</v>
      </c>
      <c r="B11" t="s">
        <v>328</v>
      </c>
      <c r="S11" s="46"/>
      <c r="T11" s="46"/>
      <c r="U11" s="46"/>
      <c r="V11" s="46"/>
      <c r="W11" s="46"/>
      <c r="X11" s="46"/>
      <c r="Y11" s="46"/>
    </row>
    <row r="12" spans="1:25" ht="12" customHeight="1">
      <c r="S12" s="46"/>
      <c r="T12" s="46"/>
      <c r="U12" s="46"/>
      <c r="V12" s="46"/>
      <c r="W12" s="46"/>
      <c r="X12" s="46"/>
      <c r="Y12" s="46"/>
    </row>
    <row r="13" spans="1:25" ht="12" customHeight="1">
      <c r="S13" s="46"/>
      <c r="T13" s="46"/>
      <c r="U13" s="46"/>
      <c r="V13" s="46"/>
      <c r="W13" s="46"/>
      <c r="X13" s="46"/>
      <c r="Y13" s="46"/>
    </row>
    <row r="14" spans="1:25" ht="12" customHeight="1">
      <c r="A14" s="1" t="s">
        <v>329</v>
      </c>
      <c r="B14" s="1" t="s">
        <v>9</v>
      </c>
      <c r="C14" s="1" t="s">
        <v>330</v>
      </c>
      <c r="D14" s="1" t="s">
        <v>331</v>
      </c>
      <c r="E14" s="1" t="s">
        <v>332</v>
      </c>
      <c r="F14" s="1" t="s">
        <v>333</v>
      </c>
      <c r="G14" s="1" t="s">
        <v>334</v>
      </c>
      <c r="H14" s="1" t="s">
        <v>16</v>
      </c>
      <c r="I14" s="1" t="s">
        <v>187</v>
      </c>
      <c r="J14" s="1" t="s">
        <v>335</v>
      </c>
      <c r="K14" s="1" t="s">
        <v>336</v>
      </c>
      <c r="L14" s="1" t="s">
        <v>337</v>
      </c>
      <c r="M14" s="1" t="s">
        <v>338</v>
      </c>
      <c r="N14" s="1" t="s">
        <v>281</v>
      </c>
      <c r="O14" s="1" t="s">
        <v>339</v>
      </c>
      <c r="P14" s="1" t="s">
        <v>340</v>
      </c>
      <c r="Q14" s="1" t="s">
        <v>341</v>
      </c>
      <c r="S14" s="46"/>
      <c r="T14" s="46"/>
      <c r="U14" s="46"/>
      <c r="V14" s="46"/>
      <c r="W14" s="46"/>
      <c r="X14" s="46"/>
      <c r="Y14" s="46"/>
    </row>
    <row r="15" spans="1:25" ht="12" customHeight="1">
      <c r="A15" t="s">
        <v>342</v>
      </c>
      <c r="B15" t="s">
        <v>42</v>
      </c>
      <c r="C15" s="4">
        <v>416.92384270781486</v>
      </c>
      <c r="D15" s="16">
        <v>0.02</v>
      </c>
      <c r="E15">
        <v>7</v>
      </c>
      <c r="F15">
        <v>1000</v>
      </c>
      <c r="G15" t="s">
        <v>343</v>
      </c>
      <c r="H15" s="6" t="str">
        <f>VLOOKUP(SupplierQuotesTable[[#This Row],[Supplier Code]],SupplierMasterTable[[#All],[Supplier Code]:[Supplier Name]],2,)</f>
        <v>SafePro India</v>
      </c>
      <c r="I15" s="6" t="str">
        <f>VLOOKUP(SupplierQuotesTable[[#This Row],[Supplier Code]],SupplierMasterTable[[#All],[Supplier Code]:[Approval Status]],5,)</f>
        <v>Approved</v>
      </c>
      <c r="J15" s="6" t="str">
        <f>VLOOKUP(SupplierQuotesTable[[#This Row],[Supplier Code]],SupplierPerformanceWorkspace[#All],8,)</f>
        <v>Needs Review</v>
      </c>
      <c r="K15" s="7">
        <f>SupplierQuotesTable[[#This Row],[Quoted Unit Price]]*(1-SupplierQuotesTable[[#This Row],[Discount]])</f>
        <v>408.58536585365857</v>
      </c>
      <c r="L15" s="7">
        <f>3500*SupplierQuotesTable[[#This Row],[Net Unit Price]]</f>
        <v>1430048.7804878049</v>
      </c>
      <c r="M15" s="7">
        <f>MAX(SupplierQuotesTable[[#This Row],[Goods Cost]]*'04_Rates_and_Rules'!$C$5,'04_Rates_and_Rules'!$C$8)</f>
        <v>35751.219512195123</v>
      </c>
      <c r="N15" s="7">
        <f>'04_Rates_and_Rules'!$C$7</f>
        <v>4200</v>
      </c>
      <c r="O15" s="7">
        <f>SupplierQuotesTable[[#This Row],[Goods Cost]]+SupplierQuotesTable[[#This Row],[Freight Cost]]+SupplierQuotesTable[[#This Row],[Handling Charge]]</f>
        <v>1470000</v>
      </c>
      <c r="P15" s="7">
        <f>$B$10-SupplierQuotesTable[[#This Row],[Total Landed Cost]]</f>
        <v>0</v>
      </c>
      <c r="Q15" s="21" t="str">
        <f>IF(SupplierQuotesTable[[#This Row],[Offered Lead Time]]&lt;=10, "Yes", "No")</f>
        <v>Yes</v>
      </c>
      <c r="S15" s="46"/>
      <c r="T15" s="46"/>
      <c r="U15" s="46"/>
      <c r="V15" s="46"/>
      <c r="W15" s="46"/>
      <c r="X15" s="46"/>
      <c r="Y15" s="46"/>
    </row>
    <row r="16" spans="1:25" ht="12" customHeight="1">
      <c r="A16" t="s">
        <v>344</v>
      </c>
      <c r="B16" t="s">
        <v>39</v>
      </c>
      <c r="C16" s="4">
        <v>408</v>
      </c>
      <c r="D16" s="16">
        <v>0</v>
      </c>
      <c r="E16">
        <v>11</v>
      </c>
      <c r="F16">
        <v>2000</v>
      </c>
      <c r="G16" t="s">
        <v>345</v>
      </c>
      <c r="H16" s="6" t="str">
        <f>VLOOKUP(SupplierQuotesTable[[#This Row],[Supplier Code]],SupplierMasterTable[[#All],[Supplier Code]:[Supplier Name]],2,)</f>
        <v>Bharat Industrial Supplies</v>
      </c>
      <c r="I16" s="6" t="str">
        <f>VLOOKUP(SupplierQuotesTable[[#This Row],[Supplier Code]],SupplierMasterTable[[#All],[Supplier Code]:[Approval Status]],5,)</f>
        <v>Approved</v>
      </c>
      <c r="J16" s="6" t="str">
        <f>VLOOKUP(SupplierQuotesTable[[#This Row],[Supplier Code]],SupplierPerformanceWorkspace[#All],8,)</f>
        <v>Needs Review</v>
      </c>
      <c r="K16" s="7">
        <f>SupplierQuotesTable[[#This Row],[Quoted Unit Price]]*(1-SupplierQuotesTable[[#This Row],[Discount]])</f>
        <v>408</v>
      </c>
      <c r="L16" s="7">
        <f>3500*SupplierQuotesTable[[#This Row],[Net Unit Price]]</f>
        <v>1428000</v>
      </c>
      <c r="M16" s="7">
        <f>MAX(SupplierQuotesTable[[#This Row],[Goods Cost]]*'04_Rates_and_Rules'!$C$5,'04_Rates_and_Rules'!$C$8)</f>
        <v>35700</v>
      </c>
      <c r="N16" s="7">
        <f>'04_Rates_and_Rules'!$C$7</f>
        <v>4200</v>
      </c>
      <c r="O16" s="7">
        <f>SupplierQuotesTable[[#This Row],[Goods Cost]]+SupplierQuotesTable[[#This Row],[Freight Cost]]+SupplierQuotesTable[[#This Row],[Handling Charge]]</f>
        <v>1467900</v>
      </c>
      <c r="P16" s="7">
        <f>$B$10-SupplierQuotesTable[[#This Row],[Total Landed Cost]]</f>
        <v>2100</v>
      </c>
      <c r="Q16" s="21" t="str">
        <f>IF(SupplierQuotesTable[[#This Row],[Offered Lead Time]]&lt;=10, "Yes", "No")</f>
        <v>No</v>
      </c>
      <c r="S16" s="46"/>
      <c r="T16" s="46"/>
      <c r="U16" s="46"/>
      <c r="V16" s="46"/>
      <c r="W16" s="46"/>
      <c r="X16" s="46"/>
      <c r="Y16" s="46"/>
    </row>
    <row r="17" spans="1:25" ht="12" customHeight="1">
      <c r="A17" t="s">
        <v>346</v>
      </c>
      <c r="B17" t="s">
        <v>72</v>
      </c>
      <c r="C17" s="4">
        <v>420</v>
      </c>
      <c r="D17" s="16">
        <v>0.03</v>
      </c>
      <c r="E17">
        <v>9</v>
      </c>
      <c r="F17">
        <v>1500</v>
      </c>
      <c r="G17" t="s">
        <v>343</v>
      </c>
      <c r="H17" s="6" t="str">
        <f>VLOOKUP(SupplierQuotesTable[[#This Row],[Supplier Code]],SupplierMasterTable[[#All],[Supplier Code]:[Supplier Name]],2,)</f>
        <v>SecureTech Safety Solutions</v>
      </c>
      <c r="I17" s="6" t="str">
        <f>VLOOKUP(SupplierQuotesTable[[#This Row],[Supplier Code]],SupplierMasterTable[[#All],[Supplier Code]:[Approval Status]],5,)</f>
        <v>Approved</v>
      </c>
      <c r="J17" s="6" t="str">
        <f>VLOOKUP(SupplierQuotesTable[[#This Row],[Supplier Code]],SupplierPerformanceWorkspace[#All],8,)</f>
        <v>Needs Review</v>
      </c>
      <c r="K17" s="7">
        <f>SupplierQuotesTable[[#This Row],[Quoted Unit Price]]*(1-SupplierQuotesTable[[#This Row],[Discount]])</f>
        <v>407.4</v>
      </c>
      <c r="L17" s="7">
        <f>3500*SupplierQuotesTable[[#This Row],[Net Unit Price]]</f>
        <v>1425900</v>
      </c>
      <c r="M17" s="7">
        <f>MAX(SupplierQuotesTable[[#This Row],[Goods Cost]]*'04_Rates_and_Rules'!$C$5,'04_Rates_and_Rules'!$C$8)</f>
        <v>35647.5</v>
      </c>
      <c r="N17" s="7">
        <f>'04_Rates_and_Rules'!$C$7</f>
        <v>4200</v>
      </c>
      <c r="O17" s="7">
        <f>SupplierQuotesTable[[#This Row],[Goods Cost]]+SupplierQuotesTable[[#This Row],[Freight Cost]]+SupplierQuotesTable[[#This Row],[Handling Charge]]</f>
        <v>1465747.5</v>
      </c>
      <c r="P17" s="7">
        <f>$B$10-SupplierQuotesTable[[#This Row],[Total Landed Cost]]</f>
        <v>4252.5</v>
      </c>
      <c r="Q17" s="21" t="str">
        <f>IF(SupplierQuotesTable[[#This Row],[Offered Lead Time]]&lt;=10, "Yes", "No")</f>
        <v>Yes</v>
      </c>
      <c r="S17" s="46"/>
      <c r="T17" s="46"/>
      <c r="U17" s="46"/>
      <c r="V17" s="46"/>
      <c r="W17" s="46"/>
      <c r="X17" s="46"/>
      <c r="Y17" s="46"/>
    </row>
    <row r="18" spans="1:25" ht="12" customHeight="1">
      <c r="A18" t="s">
        <v>347</v>
      </c>
      <c r="B18" t="s">
        <v>57</v>
      </c>
      <c r="C18" s="4">
        <v>395</v>
      </c>
      <c r="D18" s="16">
        <v>0</v>
      </c>
      <c r="E18">
        <v>14</v>
      </c>
      <c r="F18">
        <v>3000</v>
      </c>
      <c r="G18" t="s">
        <v>348</v>
      </c>
      <c r="H18" s="6" t="str">
        <f>VLOOKUP(SupplierQuotesTable[[#This Row],[Supplier Code]],SupplierMasterTable[[#All],[Supplier Code]:[Supplier Name]],2,)</f>
        <v>Metro Industrial Mart</v>
      </c>
      <c r="I18" s="6" t="str">
        <f>VLOOKUP(SupplierQuotesTable[[#This Row],[Supplier Code]],SupplierMasterTable[[#All],[Supplier Code]:[Approval Status]],5,)</f>
        <v>Conditional</v>
      </c>
      <c r="J18" s="6" t="str">
        <f>VLOOKUP(SupplierQuotesTable[[#This Row],[Supplier Code]],SupplierPerformanceWorkspace[#All],8,)</f>
        <v>Needs Review</v>
      </c>
      <c r="K18" s="7">
        <f>SupplierQuotesTable[[#This Row],[Quoted Unit Price]]*(1-SupplierQuotesTable[[#This Row],[Discount]])</f>
        <v>395</v>
      </c>
      <c r="L18" s="7">
        <f>3500*SupplierQuotesTable[[#This Row],[Net Unit Price]]</f>
        <v>1382500</v>
      </c>
      <c r="M18" s="7">
        <f>MAX(SupplierQuotesTable[[#This Row],[Goods Cost]]*'04_Rates_and_Rules'!$C$5,'04_Rates_and_Rules'!$C$8)</f>
        <v>34562.5</v>
      </c>
      <c r="N18" s="7">
        <f>'04_Rates_and_Rules'!$C$7</f>
        <v>4200</v>
      </c>
      <c r="O18" s="7">
        <f>SupplierQuotesTable[[#This Row],[Goods Cost]]+SupplierQuotesTable[[#This Row],[Freight Cost]]+SupplierQuotesTable[[#This Row],[Handling Charge]]</f>
        <v>1421262.5</v>
      </c>
      <c r="P18" s="7">
        <f>$B$10-SupplierQuotesTable[[#This Row],[Total Landed Cost]]</f>
        <v>48737.5</v>
      </c>
      <c r="Q18" s="21" t="str">
        <f>IF(SupplierQuotesTable[[#This Row],[Offered Lead Time]]&lt;=10, "Yes", "No")</f>
        <v>No</v>
      </c>
      <c r="S18" s="46"/>
      <c r="T18" s="46"/>
      <c r="U18" s="46"/>
      <c r="V18" s="46"/>
      <c r="W18" s="46"/>
      <c r="X18" s="46"/>
      <c r="Y18" s="46"/>
    </row>
    <row r="19" spans="1:25" ht="12" customHeight="1">
      <c r="S19" s="46"/>
      <c r="T19" s="46"/>
      <c r="U19" s="46"/>
      <c r="V19" s="46"/>
      <c r="W19" s="46"/>
      <c r="X19" s="46"/>
      <c r="Y19" s="46"/>
    </row>
    <row r="20" spans="1:25" ht="30.5" customHeight="1">
      <c r="S20" s="46"/>
      <c r="T20" s="46"/>
      <c r="U20" s="46"/>
      <c r="V20" s="46"/>
      <c r="W20" s="46"/>
      <c r="X20" s="46"/>
      <c r="Y20" s="46"/>
    </row>
    <row r="21" spans="1:25" ht="12" customHeight="1"/>
    <row r="22" spans="1:25" ht="12" customHeight="1">
      <c r="A22" s="50" t="s">
        <v>349</v>
      </c>
      <c r="B22" s="50"/>
      <c r="C22" s="50"/>
      <c r="D22" s="50"/>
      <c r="E22" s="50"/>
      <c r="F22" s="50"/>
    </row>
    <row r="23" spans="1:25" ht="12" customHeight="1">
      <c r="A23" s="15" t="s">
        <v>350</v>
      </c>
      <c r="B23" t="s">
        <v>351</v>
      </c>
    </row>
    <row r="24" spans="1:25" ht="12" customHeight="1">
      <c r="A24" s="15" t="s">
        <v>352</v>
      </c>
      <c r="B24" s="4">
        <v>1470000</v>
      </c>
    </row>
    <row r="25" spans="1:25" ht="12" customHeight="1">
      <c r="A25" s="15" t="s">
        <v>353</v>
      </c>
      <c r="B25" s="4">
        <f>C15</f>
        <v>416.92384270781486</v>
      </c>
    </row>
    <row r="26" spans="1:25" ht="12" customHeight="1">
      <c r="A26" s="15" t="s">
        <v>354</v>
      </c>
      <c r="B26" s="7">
        <f>O15</f>
        <v>1470000</v>
      </c>
    </row>
    <row r="27" spans="1:25" ht="12" customHeight="1">
      <c r="A27" s="15" t="s">
        <v>355</v>
      </c>
      <c r="B27" s="7">
        <f>B25</f>
        <v>416.92384270781486</v>
      </c>
    </row>
    <row r="28" spans="1:25" ht="12" customHeight="1"/>
    <row r="29" spans="1:25" ht="12" customHeight="1"/>
    <row r="30" spans="1:25" ht="12" customHeight="1">
      <c r="A30" s="47" t="s">
        <v>356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</row>
    <row r="31" spans="1:25" ht="12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</row>
    <row r="32" spans="1:25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</sheetData>
  <mergeCells count="7">
    <mergeCell ref="S1:Y2"/>
    <mergeCell ref="S3:Y20"/>
    <mergeCell ref="A30:Q31"/>
    <mergeCell ref="A1:Q1"/>
    <mergeCell ref="A2:Q2"/>
    <mergeCell ref="A4:D4"/>
    <mergeCell ref="A22:F2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</vt:lpstr>
      <vt:lpstr>06_Assignment_Answers</vt:lpstr>
      <vt:lpstr>01_Purchase_Orders</vt:lpstr>
      <vt:lpstr>02_Supplier_Master</vt:lpstr>
      <vt:lpstr>03_Product_Master</vt:lpstr>
      <vt:lpstr>04_Rates_and_Rules</vt:lpstr>
      <vt:lpstr>05_Sourcing_Decision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Palak Bansal</cp:lastModifiedBy>
  <dcterms:modified xsi:type="dcterms:W3CDTF">2026-08-23T19:42:57Z</dcterms:modified>
</cp:coreProperties>
</file>